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0400" windowHeight="7755" tabRatio="747" activeTab="2"/>
  </bookViews>
  <sheets>
    <sheet name="E" sheetId="3" r:id="rId1"/>
    <sheet name="G" sheetId="4" r:id="rId2"/>
    <sheet name="W" sheetId="2" r:id="rId3"/>
  </sheets>
  <definedNames>
    <definedName name="_xlnm._FilterDatabase" localSheetId="1" hidden="1">G!$A$1:$W$117</definedName>
    <definedName name="_xlnm.Print_Area" localSheetId="0">E!$A$1:$W$19</definedName>
    <definedName name="_xlnm.Print_Area" localSheetId="1">G!$A$1:$W$45</definedName>
    <definedName name="_xlnm.Print_Area" localSheetId="2">W!$A$1:$W$28</definedName>
  </definedNames>
  <calcPr calcId="152511"/>
</workbook>
</file>

<file path=xl/calcChain.xml><?xml version="1.0" encoding="utf-8"?>
<calcChain xmlns="http://schemas.openxmlformats.org/spreadsheetml/2006/main">
  <c r="U18" i="2" l="1"/>
  <c r="U21" i="2"/>
  <c r="U22" i="2"/>
  <c r="U13" i="2"/>
  <c r="T5" i="2"/>
  <c r="U5" i="2" s="1"/>
  <c r="U32" i="2"/>
  <c r="U31" i="2"/>
  <c r="U30" i="2"/>
  <c r="U27" i="2"/>
  <c r="U4" i="2"/>
  <c r="T6" i="2"/>
  <c r="U6" i="2" s="1"/>
  <c r="T7" i="2"/>
  <c r="U7" i="2" s="1"/>
  <c r="T8" i="2"/>
  <c r="U8" i="2" s="1"/>
  <c r="T9" i="2"/>
  <c r="U9" i="2" s="1"/>
  <c r="T10" i="2"/>
  <c r="U10" i="2" s="1"/>
  <c r="T11" i="2"/>
  <c r="U11" i="2" s="1"/>
  <c r="T19" i="2"/>
  <c r="T20" i="2"/>
  <c r="U20" i="2" s="1"/>
  <c r="T12" i="2"/>
  <c r="U12" i="2" s="1"/>
  <c r="T14" i="2"/>
  <c r="U14" i="2" s="1"/>
  <c r="T15" i="2"/>
  <c r="U15" i="2"/>
  <c r="T23" i="2"/>
  <c r="U23" i="2" s="1"/>
  <c r="U3" i="2"/>
  <c r="T26" i="2"/>
  <c r="U26" i="2" s="1"/>
  <c r="U35" i="2"/>
  <c r="U36" i="2"/>
</calcChain>
</file>

<file path=xl/sharedStrings.xml><?xml version="1.0" encoding="utf-8"?>
<sst xmlns="http://schemas.openxmlformats.org/spreadsheetml/2006/main" count="2356" uniqueCount="579">
  <si>
    <t>SL NO</t>
  </si>
  <si>
    <t>PLANT</t>
  </si>
  <si>
    <t>Code</t>
  </si>
  <si>
    <t>Customer</t>
  </si>
  <si>
    <t>Description</t>
  </si>
  <si>
    <t>W(gm)</t>
  </si>
  <si>
    <t>Set type</t>
  </si>
  <si>
    <t>process</t>
  </si>
  <si>
    <t>Current Status</t>
  </si>
  <si>
    <t>Supplier</t>
  </si>
  <si>
    <t>SITUATION</t>
  </si>
  <si>
    <t>Requesting Date</t>
  </si>
  <si>
    <t xml:space="preserve">Drawing sent to customer </t>
  </si>
  <si>
    <t>Customer approval date</t>
  </si>
  <si>
    <t>PR Date</t>
  </si>
  <si>
    <t>RFQ Date</t>
  </si>
  <si>
    <t>ORDER NO.</t>
  </si>
  <si>
    <t>Order Date</t>
  </si>
  <si>
    <t>Tech.Approval for Manufac.</t>
  </si>
  <si>
    <t>Shipment date expected</t>
  </si>
  <si>
    <t>EXCEPTED IN WAREHOUSE</t>
  </si>
  <si>
    <t>RECVD AT WAREHOUSE</t>
  </si>
  <si>
    <t>TRIAL DATE</t>
  </si>
  <si>
    <t>Column24</t>
  </si>
  <si>
    <t>payment delay From (date)</t>
  </si>
  <si>
    <t>payment delay To (date)</t>
  </si>
  <si>
    <t>MODE OF SHIPPING</t>
  </si>
  <si>
    <t>forwarder name</t>
  </si>
  <si>
    <t>NPD FULL</t>
  </si>
  <si>
    <t>BB</t>
  </si>
  <si>
    <t>PAYMENT</t>
  </si>
  <si>
    <t>201700222</t>
  </si>
  <si>
    <t>08-MAR-17</t>
  </si>
  <si>
    <t>SALE HOLD</t>
  </si>
  <si>
    <t>201700223</t>
  </si>
  <si>
    <t>10067-036</t>
  </si>
  <si>
    <t>2017000026</t>
  </si>
  <si>
    <t>10068-036</t>
  </si>
  <si>
    <t>2017000025</t>
  </si>
  <si>
    <t>10069-036</t>
  </si>
  <si>
    <t>UNDER SHIPPING</t>
  </si>
  <si>
    <t>2017000024</t>
  </si>
  <si>
    <t>201700224</t>
  </si>
  <si>
    <t>E20124</t>
  </si>
  <si>
    <t>PB</t>
  </si>
  <si>
    <t>WIP</t>
  </si>
  <si>
    <t>E002</t>
  </si>
  <si>
    <t>10042-025</t>
  </si>
  <si>
    <t>NPD TRIAL</t>
  </si>
  <si>
    <t>RECVD AT WH</t>
  </si>
  <si>
    <t>2016001768</t>
  </si>
  <si>
    <t>10043-025</t>
  </si>
  <si>
    <t>2016001765</t>
  </si>
  <si>
    <t>10044-025</t>
  </si>
  <si>
    <t>Coca Egypt</t>
  </si>
  <si>
    <t>Reorder</t>
  </si>
  <si>
    <t>reorder</t>
  </si>
  <si>
    <t>2016001338</t>
  </si>
  <si>
    <t>20-10-2016</t>
  </si>
  <si>
    <t>26-10-2016</t>
  </si>
  <si>
    <t>sea</t>
  </si>
  <si>
    <t>PYRAMIDS</t>
  </si>
  <si>
    <t>2016001398</t>
  </si>
  <si>
    <t>EFS</t>
  </si>
  <si>
    <t>REORDER</t>
  </si>
  <si>
    <t>2016001063</t>
  </si>
  <si>
    <t>27-09-2016</t>
  </si>
  <si>
    <t>pyramids</t>
  </si>
  <si>
    <t>FD 1016</t>
  </si>
  <si>
    <t>2016001462</t>
  </si>
  <si>
    <t>2016001472</t>
  </si>
  <si>
    <t>TECHNICAL HOLD</t>
  </si>
  <si>
    <t>2016001586</t>
  </si>
  <si>
    <t>2016001252</t>
  </si>
  <si>
    <t>2016001592</t>
  </si>
  <si>
    <t>2016001587</t>
  </si>
  <si>
    <t>2016001593</t>
  </si>
  <si>
    <t>E30048 / E027</t>
  </si>
  <si>
    <t>2016001591</t>
  </si>
  <si>
    <t>NNPB</t>
  </si>
  <si>
    <t>2016001314</t>
  </si>
  <si>
    <t>16-10-2016</t>
  </si>
  <si>
    <t xml:space="preserve">2016001188 full 
</t>
  </si>
  <si>
    <t>E029</t>
  </si>
  <si>
    <t>2016001629</t>
  </si>
  <si>
    <t>E 10011-1</t>
  </si>
  <si>
    <t>2016001399</t>
  </si>
  <si>
    <t>CANCELLED</t>
  </si>
  <si>
    <t>2016001724</t>
  </si>
  <si>
    <t>31-Nov-10</t>
  </si>
  <si>
    <t>Re-Order</t>
  </si>
  <si>
    <t>28-9-2016</t>
  </si>
  <si>
    <t>‎2016001262 ‎</t>
  </si>
  <si>
    <t>29/9/2016</t>
  </si>
  <si>
    <t>25-11-2016</t>
  </si>
  <si>
    <t xml:space="preserve">2016001209
</t>
  </si>
  <si>
    <t>E30060 / E027</t>
  </si>
  <si>
    <t>2016001723 </t>
  </si>
  <si>
    <t>E 004</t>
  </si>
  <si>
    <t>2016001361</t>
  </si>
  <si>
    <t>30-10-2016</t>
  </si>
  <si>
    <t>2016001546</t>
  </si>
  <si>
    <t>14-03-2015</t>
  </si>
  <si>
    <t>14-03-2016</t>
  </si>
  <si>
    <t>2016000499</t>
  </si>
  <si>
    <t>Coca Kenya</t>
  </si>
  <si>
    <t>2016001303</t>
  </si>
  <si>
    <t>20/10/2016</t>
  </si>
  <si>
    <t>29-10-2016</t>
  </si>
  <si>
    <t>Pepsi Egypt</t>
  </si>
  <si>
    <t>21/9/2016</t>
  </si>
  <si>
    <t>2016001259</t>
  </si>
  <si>
    <t>17-08</t>
  </si>
  <si>
    <t>2016001112</t>
  </si>
  <si>
    <t>SEPT. 26-16</t>
  </si>
  <si>
    <t>2016001260</t>
  </si>
  <si>
    <t>-</t>
  </si>
  <si>
    <t>29-/09-2016</t>
  </si>
  <si>
    <t>2016001305</t>
  </si>
  <si>
    <t>18/10/2016</t>
  </si>
  <si>
    <t>E007</t>
  </si>
  <si>
    <t>2016001630</t>
  </si>
  <si>
    <t>AIR</t>
  </si>
  <si>
    <t>2016001671</t>
  </si>
  <si>
    <t>2016001226</t>
  </si>
  <si>
    <t>25-09-2016</t>
  </si>
  <si>
    <t>17-10-2016</t>
  </si>
  <si>
    <t>2016001240</t>
  </si>
  <si>
    <t>Berlin</t>
  </si>
  <si>
    <t>nnpb</t>
  </si>
  <si>
    <t>2016001235</t>
  </si>
  <si>
    <t>21-10-2016</t>
  </si>
  <si>
    <t>16-11-2016</t>
  </si>
  <si>
    <t>2016001590</t>
  </si>
  <si>
    <t>2016001589</t>
  </si>
  <si>
    <t>2016001236</t>
  </si>
  <si>
    <t>15-10-2016</t>
  </si>
  <si>
    <t>2016001229</t>
  </si>
  <si>
    <t>28/9/2016</t>
  </si>
  <si>
    <t>03- Nov.-16</t>
  </si>
  <si>
    <t>2016001000</t>
  </si>
  <si>
    <t>Pepsi Jordan</t>
  </si>
  <si>
    <t>2016001230</t>
  </si>
  <si>
    <t>E20047/ E010</t>
  </si>
  <si>
    <t>2016001588</t>
  </si>
  <si>
    <t>E10053</t>
  </si>
  <si>
    <t>2016001627</t>
  </si>
  <si>
    <t>E30031</t>
  </si>
  <si>
    <t>2016001628</t>
  </si>
  <si>
    <t>2016001231</t>
  </si>
  <si>
    <t>2016001232</t>
  </si>
  <si>
    <t>2016001233</t>
  </si>
  <si>
    <t>2016001234</t>
  </si>
  <si>
    <t>23-11-16</t>
  </si>
  <si>
    <t>2016000731</t>
  </si>
  <si>
    <t>15-06-2016</t>
  </si>
  <si>
    <t>2016000878</t>
  </si>
  <si>
    <t>2016001225</t>
  </si>
  <si>
    <t>AAC</t>
  </si>
  <si>
    <t>ARTICLE</t>
  </si>
  <si>
    <t xml:space="preserve"> 2016001778</t>
  </si>
  <si>
    <t xml:space="preserve"> 2016001779</t>
  </si>
  <si>
    <t xml:space="preserve"> 2016001793</t>
  </si>
  <si>
    <t>2016001337</t>
  </si>
  <si>
    <t>2016001336</t>
  </si>
  <si>
    <t>2016001359</t>
  </si>
  <si>
    <t>10072-003</t>
  </si>
  <si>
    <t>30/8/2016</t>
  </si>
  <si>
    <t>2016001461</t>
  </si>
  <si>
    <t>10116-003</t>
  </si>
  <si>
    <t>2017000349</t>
  </si>
  <si>
    <t>E20051</t>
  </si>
  <si>
    <t>062</t>
  </si>
  <si>
    <t>10141-003</t>
  </si>
  <si>
    <t>27-11-2016</t>
  </si>
  <si>
    <t>CUSTOMER</t>
  </si>
  <si>
    <t>3014</t>
  </si>
  <si>
    <t>UNDER MANF</t>
  </si>
  <si>
    <t>2016001241</t>
  </si>
  <si>
    <t>2016001242</t>
  </si>
  <si>
    <t>FC</t>
  </si>
  <si>
    <t>60034</t>
  </si>
  <si>
    <t>FINISHED</t>
  </si>
  <si>
    <t>DAE 30031-007</t>
  </si>
  <si>
    <t>PAD 01413-C</t>
  </si>
  <si>
    <t>UNDER CLERANCE</t>
  </si>
  <si>
    <t>15-11-2016</t>
  </si>
  <si>
    <t>20016D</t>
  </si>
  <si>
    <t>1120</t>
  </si>
  <si>
    <t>4102</t>
  </si>
  <si>
    <t>19-07-16</t>
  </si>
  <si>
    <t>23-07-16</t>
  </si>
  <si>
    <t>22-08-16</t>
  </si>
  <si>
    <t>19-09-2015</t>
  </si>
  <si>
    <t>Julphar</t>
  </si>
  <si>
    <t>2012</t>
  </si>
  <si>
    <t>Generic</t>
  </si>
  <si>
    <t>2086</t>
  </si>
  <si>
    <t>Sakr Co.</t>
  </si>
  <si>
    <t>DELTA</t>
  </si>
  <si>
    <t>19-OCT-2016</t>
  </si>
  <si>
    <t>25-OCT-2016</t>
  </si>
  <si>
    <t>?</t>
  </si>
  <si>
    <t>PAD 01009-I</t>
  </si>
  <si>
    <t>Heineken  Almaza</t>
  </si>
  <si>
    <t>ON 5"DG</t>
  </si>
  <si>
    <t>reorder?</t>
  </si>
  <si>
    <t>1061.1</t>
  </si>
  <si>
    <t>1061.2</t>
  </si>
  <si>
    <t>2031.1</t>
  </si>
  <si>
    <t>18-04-16</t>
  </si>
  <si>
    <t>18-04-2016</t>
  </si>
  <si>
    <t>20-07-16</t>
  </si>
  <si>
    <t>24-07-16</t>
  </si>
  <si>
    <t>27-APR-2016</t>
  </si>
  <si>
    <t>1124</t>
  </si>
  <si>
    <t>07-02-16</t>
  </si>
  <si>
    <t>10-02-16</t>
  </si>
  <si>
    <t>28-07-16</t>
  </si>
  <si>
    <t>1123</t>
  </si>
  <si>
    <t>00316</t>
  </si>
  <si>
    <t>Mahmoud Said</t>
  </si>
  <si>
    <t>29-06-16</t>
  </si>
  <si>
    <t>PAD-03916</t>
  </si>
  <si>
    <t>Air</t>
  </si>
  <si>
    <t>PAD-04016</t>
  </si>
  <si>
    <t>PAD-03816</t>
  </si>
  <si>
    <t>15 of May</t>
  </si>
  <si>
    <t>4084</t>
  </si>
  <si>
    <t>Vitrac</t>
  </si>
  <si>
    <t>21-07-16</t>
  </si>
  <si>
    <t>3135</t>
  </si>
  <si>
    <t>UDV</t>
  </si>
  <si>
    <t>OTHERS</t>
  </si>
  <si>
    <t>Free</t>
  </si>
  <si>
    <t>17000203</t>
  </si>
  <si>
    <t>17000258</t>
  </si>
  <si>
    <t>FD</t>
  </si>
  <si>
    <t>17000047</t>
  </si>
  <si>
    <t>17000019</t>
  </si>
  <si>
    <t>17000018</t>
  </si>
  <si>
    <t>17000160</t>
  </si>
  <si>
    <t>160001048</t>
  </si>
  <si>
    <t>SEA</t>
  </si>
  <si>
    <t>RECIEVED ITEMS</t>
  </si>
  <si>
    <t>17000045</t>
  </si>
  <si>
    <t>160001288</t>
  </si>
  <si>
    <t>160001271</t>
  </si>
  <si>
    <t>160001088</t>
  </si>
  <si>
    <t>160001232</t>
  </si>
  <si>
    <t>160001120</t>
  </si>
  <si>
    <t>160001087</t>
  </si>
  <si>
    <t>MD 1188</t>
  </si>
  <si>
    <t>160001039</t>
  </si>
  <si>
    <t>NA</t>
  </si>
  <si>
    <t>16-6-2016</t>
  </si>
  <si>
    <t>CANCELLED ITEMS</t>
  </si>
  <si>
    <t>E</t>
  </si>
  <si>
    <t>Supplier_name</t>
  </si>
  <si>
    <t xml:space="preserve">  1202/ 1069</t>
  </si>
  <si>
    <t xml:space="preserve">  1186/ 1068</t>
  </si>
  <si>
    <t xml:space="preserve">  1205/ 1072</t>
  </si>
  <si>
    <t xml:space="preserve">  1024-  1005-  1004</t>
  </si>
  <si>
    <t xml:space="preserve">  1204/   1071</t>
  </si>
  <si>
    <t>G</t>
  </si>
  <si>
    <t>35/ /16</t>
  </si>
  <si>
    <t>437/ /16/2</t>
  </si>
  <si>
    <t>400/ /16</t>
  </si>
  <si>
    <t>12/ /17</t>
  </si>
  <si>
    <t>13/ /17</t>
  </si>
  <si>
    <t>29/ /17</t>
  </si>
  <si>
    <t>30/ /17</t>
  </si>
  <si>
    <t>18/ /17</t>
  </si>
  <si>
    <t>42/ /17</t>
  </si>
  <si>
    <t>22/ /17</t>
  </si>
  <si>
    <t>23/ /17</t>
  </si>
  <si>
    <t>43/ /17</t>
  </si>
  <si>
    <t xml:space="preserve">   1200 </t>
  </si>
  <si>
    <t>80/ /17</t>
  </si>
  <si>
    <t>37/ /17</t>
  </si>
  <si>
    <t>28/ /17/1</t>
  </si>
  <si>
    <t>28/ /17/2</t>
  </si>
  <si>
    <t>417/ /16/2</t>
  </si>
  <si>
    <t>435/ /16/1</t>
  </si>
  <si>
    <t>435/ /16/2</t>
  </si>
  <si>
    <t>47/ /17</t>
  </si>
  <si>
    <t>48/ /17</t>
  </si>
  <si>
    <t>50/ /17</t>
  </si>
  <si>
    <t>51/ /17</t>
  </si>
  <si>
    <t>54/ /17</t>
  </si>
  <si>
    <t>55/ /17</t>
  </si>
  <si>
    <t>56/ /17</t>
  </si>
  <si>
    <t>57/ /17</t>
  </si>
  <si>
    <t>58/ /17</t>
  </si>
  <si>
    <t>59/ /17</t>
  </si>
  <si>
    <t>62/ /17</t>
  </si>
  <si>
    <t>81/ /17</t>
  </si>
  <si>
    <t>82/ /17</t>
  </si>
  <si>
    <t>85/ /17</t>
  </si>
  <si>
    <t>90/ /17</t>
  </si>
  <si>
    <t>91/ /17</t>
  </si>
  <si>
    <t>401/ /16</t>
  </si>
  <si>
    <t>80/ /16</t>
  </si>
  <si>
    <t>301/ /16</t>
  </si>
  <si>
    <t>418/ /16</t>
  </si>
  <si>
    <t>405/ /16</t>
  </si>
  <si>
    <t>436/ /16</t>
  </si>
  <si>
    <t>404/ /16</t>
  </si>
  <si>
    <t>276/ /16</t>
  </si>
  <si>
    <t>277/ /16</t>
  </si>
  <si>
    <t>437/ /16/1</t>
  </si>
  <si>
    <t>187/ /16/2</t>
  </si>
  <si>
    <t>19/ /17</t>
  </si>
  <si>
    <t>406/ /16</t>
  </si>
  <si>
    <t>442/ /16</t>
  </si>
  <si>
    <t>399/ /16</t>
  </si>
  <si>
    <t>403/ /16</t>
  </si>
  <si>
    <t>300/ /16</t>
  </si>
  <si>
    <t>417/ /16/1</t>
  </si>
  <si>
    <t>387/ /16</t>
  </si>
  <si>
    <t>438/ /16</t>
  </si>
  <si>
    <t>386/ /16</t>
  </si>
  <si>
    <t>388/ /16</t>
  </si>
  <si>
    <t>340/ /16</t>
  </si>
  <si>
    <t>390/ /16/1</t>
  </si>
  <si>
    <t>402/ /16</t>
  </si>
  <si>
    <t>390/ /16/2</t>
  </si>
  <si>
    <t>337/ /16</t>
  </si>
  <si>
    <t>397/ /16</t>
  </si>
  <si>
    <t>338/ /16</t>
  </si>
  <si>
    <t>385/ /16</t>
  </si>
  <si>
    <t>407/ /16</t>
  </si>
  <si>
    <t>353/ /16</t>
  </si>
  <si>
    <t>279/ /16</t>
  </si>
  <si>
    <t>339/ /16</t>
  </si>
  <si>
    <t>389/ /16</t>
  </si>
  <si>
    <t>191/ /16/2</t>
  </si>
  <si>
    <t>352/ /16</t>
  </si>
  <si>
    <t>280/ /16</t>
  </si>
  <si>
    <t>341/ /16</t>
  </si>
  <si>
    <t>322/ /16</t>
  </si>
  <si>
    <t>228/ /16</t>
  </si>
  <si>
    <t>24/ /17</t>
  </si>
  <si>
    <t>25/ /17</t>
  </si>
  <si>
    <t>26/ /17</t>
  </si>
  <si>
    <t>230/ /16</t>
  </si>
  <si>
    <t>234/ /16</t>
  </si>
  <si>
    <t>410/ /16</t>
  </si>
  <si>
    <t>197/ /16</t>
  </si>
  <si>
    <t>296/ /16</t>
  </si>
  <si>
    <t xml:space="preserve">  10006-005</t>
  </si>
  <si>
    <t>supplier_name</t>
  </si>
  <si>
    <t>Product_no: 1</t>
  </si>
  <si>
    <t>Product_no: 2</t>
  </si>
  <si>
    <t>Product_no: 3</t>
  </si>
  <si>
    <t>Product_no: 4</t>
  </si>
  <si>
    <t>Product_no: 5</t>
  </si>
  <si>
    <t>Product_no: 6</t>
  </si>
  <si>
    <t>Product_no: 7</t>
  </si>
  <si>
    <t>Product_no: 8</t>
  </si>
  <si>
    <t>Product_no: 9</t>
  </si>
  <si>
    <t>Product_no: 10</t>
  </si>
  <si>
    <t>Product_no: 11</t>
  </si>
  <si>
    <t>Product_no: 12</t>
  </si>
  <si>
    <t>Product_no: 13</t>
  </si>
  <si>
    <t>Product_no: 14</t>
  </si>
  <si>
    <t>Product_no: 15</t>
  </si>
  <si>
    <t>Product_no: 16</t>
  </si>
  <si>
    <t>Product_no: 17</t>
  </si>
  <si>
    <t>Product_no: 18</t>
  </si>
  <si>
    <t>Product_no: 19</t>
  </si>
  <si>
    <t>Product_no: 20</t>
  </si>
  <si>
    <t>Product_no: 21</t>
  </si>
  <si>
    <t>Product_no: 22</t>
  </si>
  <si>
    <t>Product_no: 23</t>
  </si>
  <si>
    <t>Product_no: 24</t>
  </si>
  <si>
    <t>Product_no: 25</t>
  </si>
  <si>
    <t>Product_no: 26</t>
  </si>
  <si>
    <t>Product_no: 27</t>
  </si>
  <si>
    <t>Product_no: 28</t>
  </si>
  <si>
    <t>Product_no: 29</t>
  </si>
  <si>
    <t>Product_no: 30</t>
  </si>
  <si>
    <t>Product_no: 31</t>
  </si>
  <si>
    <t>Product_no: 32</t>
  </si>
  <si>
    <t>Product_no: 33</t>
  </si>
  <si>
    <t>Product_no: 34</t>
  </si>
  <si>
    <t>Product_no: 35</t>
  </si>
  <si>
    <t>Product_no: 36</t>
  </si>
  <si>
    <t>Product_no: 37</t>
  </si>
  <si>
    <t>Product_no: 38</t>
  </si>
  <si>
    <t>Product_no: 39</t>
  </si>
  <si>
    <t>Product_no: 40</t>
  </si>
  <si>
    <t>Product_no: 41</t>
  </si>
  <si>
    <t>Product_no: 42</t>
  </si>
  <si>
    <t>Product_no: 43</t>
  </si>
  <si>
    <t>Product_no: 44</t>
  </si>
  <si>
    <t>Product_no: 45</t>
  </si>
  <si>
    <t>Product_no: 46</t>
  </si>
  <si>
    <t>Product_no: 47</t>
  </si>
  <si>
    <t>Product_no: 48</t>
  </si>
  <si>
    <t>Product_no: 49</t>
  </si>
  <si>
    <t>Product_no: 50</t>
  </si>
  <si>
    <t>Product_no: 51</t>
  </si>
  <si>
    <t>Product_no: 52</t>
  </si>
  <si>
    <t>Product_no: 53</t>
  </si>
  <si>
    <t>Product_no: 54</t>
  </si>
  <si>
    <t>Product_no: 55</t>
  </si>
  <si>
    <t>Product_no: 56</t>
  </si>
  <si>
    <t>Product_no: 57</t>
  </si>
  <si>
    <t>Product_no: 58</t>
  </si>
  <si>
    <t>Product_no: 59</t>
  </si>
  <si>
    <t>Product_no: 60</t>
  </si>
  <si>
    <t>Product_no: 61</t>
  </si>
  <si>
    <t>Product_no: 62</t>
  </si>
  <si>
    <t>Product_no: 63</t>
  </si>
  <si>
    <t>Product_no: 64</t>
  </si>
  <si>
    <t>Product_no: 65</t>
  </si>
  <si>
    <t>Product_no: 66</t>
  </si>
  <si>
    <t>Product_no: 67</t>
  </si>
  <si>
    <t>Product_no: 68</t>
  </si>
  <si>
    <t>Product_no: 69</t>
  </si>
  <si>
    <t>Product_no: 70</t>
  </si>
  <si>
    <t>Product_no: 71</t>
  </si>
  <si>
    <t>Product_no: 72</t>
  </si>
  <si>
    <t>Product_no: 73</t>
  </si>
  <si>
    <t>Product_no: 74</t>
  </si>
  <si>
    <t>Product_no: 75</t>
  </si>
  <si>
    <t>Product_no: 76</t>
  </si>
  <si>
    <t>Product_no: 77</t>
  </si>
  <si>
    <t>Product_no: 78</t>
  </si>
  <si>
    <t>Product_no: 79</t>
  </si>
  <si>
    <t>Product_no: 80</t>
  </si>
  <si>
    <t>Product_no: 81</t>
  </si>
  <si>
    <t>Product_no: 82</t>
  </si>
  <si>
    <t>Product_no: 83</t>
  </si>
  <si>
    <t>Product_no: 84</t>
  </si>
  <si>
    <t>Product_no: 85</t>
  </si>
  <si>
    <t>Product_no: 86</t>
  </si>
  <si>
    <t>Product_no: 87</t>
  </si>
  <si>
    <t>Product_no: 88</t>
  </si>
  <si>
    <t>Product_no: 89</t>
  </si>
  <si>
    <t>Product_no: 90</t>
  </si>
  <si>
    <t>Product_no: 91</t>
  </si>
  <si>
    <t>Product_no: 92</t>
  </si>
  <si>
    <t>Product_no: 93</t>
  </si>
  <si>
    <t>Product_no: 94</t>
  </si>
  <si>
    <t>Product_no: 95</t>
  </si>
  <si>
    <t>Product_no: 96</t>
  </si>
  <si>
    <t>Product_no: 97</t>
  </si>
  <si>
    <t>Product_no: 98</t>
  </si>
  <si>
    <t>Product_no: 99</t>
  </si>
  <si>
    <t>Product_no: 100</t>
  </si>
  <si>
    <t>Product_no: 101</t>
  </si>
  <si>
    <t>Product_no: 102</t>
  </si>
  <si>
    <t>Product_no: 103</t>
  </si>
  <si>
    <t>Product_no: 104</t>
  </si>
  <si>
    <t>Product_no: 105</t>
  </si>
  <si>
    <t>Product_no: 106</t>
  </si>
  <si>
    <t>Product_no: 107</t>
  </si>
  <si>
    <t>Product_no: 108</t>
  </si>
  <si>
    <t>Product_no: 109</t>
  </si>
  <si>
    <t>Product_no: 110</t>
  </si>
  <si>
    <t>Product_no: 111</t>
  </si>
  <si>
    <t>Product_no: 112</t>
  </si>
  <si>
    <t>Product_no: 113</t>
  </si>
  <si>
    <t>Product_no: 114</t>
  </si>
  <si>
    <t>Product_no: 115</t>
  </si>
  <si>
    <t>Product_no: 116</t>
  </si>
  <si>
    <t>W</t>
  </si>
  <si>
    <t xml:space="preserve">  820 A</t>
  </si>
  <si>
    <t xml:space="preserve">  777B</t>
  </si>
  <si>
    <t xml:space="preserve">  036C</t>
  </si>
  <si>
    <t>DAW20085/  744A</t>
  </si>
  <si>
    <t xml:space="preserve">  036A</t>
  </si>
  <si>
    <t xml:space="preserve"> /FD</t>
  </si>
  <si>
    <t>product_no: 1</t>
  </si>
  <si>
    <t>product_no: 2</t>
  </si>
  <si>
    <t>product_no: 3</t>
  </si>
  <si>
    <t>product_no: 4</t>
  </si>
  <si>
    <t>product_no: 5</t>
  </si>
  <si>
    <t>product_no: 6</t>
  </si>
  <si>
    <t>product_no: 7</t>
  </si>
  <si>
    <t>product_no: 8</t>
  </si>
  <si>
    <t>product_no: 9</t>
  </si>
  <si>
    <t>product_no: 10</t>
  </si>
  <si>
    <t>product_no: 11</t>
  </si>
  <si>
    <t>product_no: 12</t>
  </si>
  <si>
    <t>product_no: 13</t>
  </si>
  <si>
    <t>product_no: 14</t>
  </si>
  <si>
    <t>product_no: 15</t>
  </si>
  <si>
    <t>product_no: 16</t>
  </si>
  <si>
    <t>product_no: 17</t>
  </si>
  <si>
    <t>product_no: 18</t>
  </si>
  <si>
    <t>product_no: 19</t>
  </si>
  <si>
    <t>product_no: 20</t>
  </si>
  <si>
    <t>product_no: 21</t>
  </si>
  <si>
    <t>product_no: 22</t>
  </si>
  <si>
    <t>product_no: 23</t>
  </si>
  <si>
    <t>product_no: 24</t>
  </si>
  <si>
    <t>product_no: 25</t>
  </si>
  <si>
    <t>product_no: 26</t>
  </si>
  <si>
    <t>product_no: 27</t>
  </si>
  <si>
    <t>product_no: 28</t>
  </si>
  <si>
    <t>product_no: 29</t>
  </si>
  <si>
    <t>product_no: 30</t>
  </si>
  <si>
    <t>product_no: 31</t>
  </si>
  <si>
    <t>product_no: 32</t>
  </si>
  <si>
    <t>product_no: 33</t>
  </si>
  <si>
    <t>product_no: 34</t>
  </si>
  <si>
    <t>product_no: 35</t>
  </si>
  <si>
    <t>product_no: 36</t>
  </si>
  <si>
    <t>product_no: 37</t>
  </si>
  <si>
    <t>product_no: 38</t>
  </si>
  <si>
    <t>product_no: 39</t>
  </si>
  <si>
    <t>product_no: 40</t>
  </si>
  <si>
    <t>product_no: 41</t>
  </si>
  <si>
    <t>product_no: 42</t>
  </si>
  <si>
    <t>product_no: 43</t>
  </si>
  <si>
    <t>product_no: 44</t>
  </si>
  <si>
    <t>product_no: 45</t>
  </si>
  <si>
    <t>product_no: 46</t>
  </si>
  <si>
    <t>product_no: 47</t>
  </si>
  <si>
    <t>product_no: 48</t>
  </si>
  <si>
    <t>product_no: 49</t>
  </si>
  <si>
    <t>product_no: 50</t>
  </si>
  <si>
    <t>product_no: 51</t>
  </si>
  <si>
    <t>product_no: 52</t>
  </si>
  <si>
    <t>product_no: 53</t>
  </si>
  <si>
    <t>product_no: 54</t>
  </si>
  <si>
    <t>product_no: 55</t>
  </si>
  <si>
    <t>product_no: 56</t>
  </si>
  <si>
    <t>product_no: 57</t>
  </si>
  <si>
    <t>product_no: 58</t>
  </si>
  <si>
    <t>product_no: 59</t>
  </si>
  <si>
    <t>product_no: 60</t>
  </si>
  <si>
    <t>product_no: 61</t>
  </si>
  <si>
    <t>product_no: 62</t>
  </si>
  <si>
    <t>product_no: 63</t>
  </si>
  <si>
    <t>product_no: 64</t>
  </si>
  <si>
    <t>product_no: 65</t>
  </si>
  <si>
    <t>product_no: 66</t>
  </si>
  <si>
    <t>product_no: 67</t>
  </si>
  <si>
    <t>product_no: 68</t>
  </si>
  <si>
    <t>product_no: 69</t>
  </si>
  <si>
    <t>product_no: 70</t>
  </si>
  <si>
    <t>product_no: 71</t>
  </si>
  <si>
    <t>product_no: 72</t>
  </si>
  <si>
    <t>product_no: 73</t>
  </si>
  <si>
    <t>product_no: 74</t>
  </si>
  <si>
    <t>product_no: 75</t>
  </si>
  <si>
    <t>product_no: 76</t>
  </si>
  <si>
    <t>product_no: 77</t>
  </si>
  <si>
    <t>product_no: 78</t>
  </si>
  <si>
    <t>product_no: 79</t>
  </si>
  <si>
    <t>product_no: 80</t>
  </si>
  <si>
    <t>product_no: 81</t>
  </si>
  <si>
    <t>product_no: 82</t>
  </si>
  <si>
    <t>product_no: 83</t>
  </si>
  <si>
    <t>product_no: 84</t>
  </si>
  <si>
    <t>product_no: 85</t>
  </si>
  <si>
    <t>product_no: 86</t>
  </si>
  <si>
    <t>product_no: 87</t>
  </si>
  <si>
    <t>product_no: 88</t>
  </si>
  <si>
    <t>product_no: 89</t>
  </si>
  <si>
    <t>product_no: 90</t>
  </si>
  <si>
    <t>product_no: 91</t>
  </si>
  <si>
    <t>product_no: 92</t>
  </si>
  <si>
    <t>product_no: 93</t>
  </si>
  <si>
    <t>product_no: 94</t>
  </si>
  <si>
    <t>product_no: 95</t>
  </si>
  <si>
    <t>product_no: 96</t>
  </si>
  <si>
    <t>product_no: 97</t>
  </si>
  <si>
    <t>product_no: 98</t>
  </si>
  <si>
    <t>product_no: 99</t>
  </si>
  <si>
    <t>product_no: 100</t>
  </si>
  <si>
    <t>product_no: 101</t>
  </si>
  <si>
    <t>product_no: 102</t>
  </si>
  <si>
    <t>product_no: 103</t>
  </si>
  <si>
    <t>product_no: 104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</si>
</sst>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409]d\-mmm\-yy;@"/>
    <numFmt numFmtId="165" formatCode="[$-1010000]d/m/yyyy;@"/>
    <numFmt numFmtId="166" formatCode="[$-409]dd\-mmm\-yy;@"/>
  </numFmts>
  <fonts count="3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Calibri"/>
      <family val="2"/>
    </font>
    <font>
      <sz val="11"/>
      <color rgb="FF000000"/>
      <name val="Calibri"/>
      <family val="2"/>
    </font>
    <font>
      <i/>
      <sz val="11"/>
      <color rgb="FF000000"/>
      <name val="Calibri"/>
      <family val="2"/>
    </font>
    <font>
      <sz val="11"/>
      <color theme="0" tint="-0.499984740745262"/>
      <name val="Calibri"/>
      <family val="2"/>
    </font>
    <font>
      <b/>
      <sz val="11"/>
      <color rgb="FF000000"/>
      <name val="Calibri"/>
      <family val="2"/>
    </font>
    <font>
      <b/>
      <sz val="11"/>
      <color rgb="FF7F7F7F"/>
      <name val="Calibri"/>
      <family val="2"/>
    </font>
    <font>
      <sz val="11"/>
      <color rgb="FF7F7F7F"/>
      <name val="Calibri"/>
      <family val="2"/>
    </font>
    <font>
      <i/>
      <sz val="11"/>
      <color rgb="FF7F7F7F"/>
      <name val="Calibri"/>
      <family val="2"/>
    </font>
    <font>
      <b/>
      <sz val="11"/>
      <color rgb="FFC00000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rgb="FF000000"/>
      <name val="Calibri"/>
      <family val="2"/>
    </font>
    <font>
      <b/>
      <sz val="16"/>
      <color rgb="FF262626"/>
      <name val="Calibri"/>
      <family val="2"/>
      <scheme val="minor"/>
    </font>
    <font>
      <b/>
      <sz val="11"/>
      <color rgb="FFA5A5A5"/>
      <name val="Calibri"/>
      <family val="2"/>
    </font>
    <font>
      <sz val="11"/>
      <color rgb="FFA5A5A5"/>
      <name val="Calibri"/>
      <family val="2"/>
    </font>
    <font>
      <i/>
      <sz val="11"/>
      <color rgb="FFA5A5A5"/>
      <name val="Calibri"/>
      <family val="2"/>
    </font>
    <font>
      <sz val="10"/>
      <color rgb="FF000000"/>
      <name val="Arial"/>
      <family val="2"/>
    </font>
    <font>
      <i/>
      <sz val="10"/>
      <color theme="1"/>
      <name val="Arial"/>
      <family val="2"/>
    </font>
    <font>
      <sz val="10"/>
      <color theme="0" tint="-0.499984740745262"/>
      <name val="Arial"/>
      <family val="2"/>
    </font>
    <font>
      <i/>
      <sz val="10"/>
      <color theme="0" tint="-0.499984740745262"/>
      <name val="Arial"/>
      <family val="2"/>
    </font>
    <font>
      <sz val="10"/>
      <color rgb="FFA5A5A5"/>
      <name val="Calibri"/>
      <family val="2"/>
    </font>
    <font>
      <sz val="11"/>
      <color rgb="FF00B050"/>
      <name val="Calibri"/>
      <family val="2"/>
      <scheme val="minor"/>
    </font>
    <font>
      <b/>
      <sz val="11"/>
      <color rgb="FF00B050"/>
      <name val="Calibri"/>
      <family val="2"/>
    </font>
    <font>
      <i/>
      <sz val="11"/>
      <color rgb="FF00B050"/>
      <name val="Calibri"/>
      <family val="2"/>
    </font>
    <font>
      <sz val="10"/>
      <color rgb="FF00B050"/>
      <name val="Calibri"/>
      <family val="2"/>
    </font>
    <font>
      <b/>
      <sz val="11"/>
      <color rgb="FFFF0000"/>
      <name val="Calibri"/>
      <family val="2"/>
    </font>
    <font>
      <i/>
      <sz val="11"/>
      <color rgb="FFFF0000"/>
      <name val="Calibri"/>
      <family val="2"/>
    </font>
    <font>
      <sz val="10"/>
      <color theme="1"/>
      <name val="Calibri"/>
      <family val="2"/>
    </font>
    <font>
      <i/>
      <sz val="11"/>
      <color theme="1"/>
      <name val="Calibri"/>
      <family val="2"/>
    </font>
    <font>
      <sz val="11"/>
      <color rgb="FF7F7F7F"/>
      <name val="Calibri"/>
      <family val="2"/>
      <scheme val="minor"/>
    </font>
    <font>
      <sz val="11"/>
      <color rgb="FF00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504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3D69B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BE5F1"/>
        <bgColor indexed="64"/>
      </patternFill>
    </fill>
    <fill>
      <patternFill patternType="none">
        <fgColor theme="8" tint="0.79998168889431442"/>
        <bgColor indexed="64"/>
      </patternFill>
    </fill>
    <fill>
      <patternFill patternType="none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15">
    <xf numFmtId="0" fontId="0" fillId="0" borderId="0" xfId="0"/>
    <xf numFmtId="0" fontId="5" fillId="17" borderId="1" xfId="0" applyNumberFormat="1" applyFont="1" applyFill="1" applyBorder="1" applyAlignment="1" applyProtection="1">
      <alignment wrapText="1"/>
    </xf>
    <xf numFmtId="0" fontId="5" fillId="17" borderId="1" xfId="0" applyNumberFormat="1" applyFont="1" applyFill="1" applyBorder="1" applyAlignment="1" applyProtection="1"/>
    <xf numFmtId="0" fontId="7" fillId="17" borderId="1" xfId="0" applyFont="1" applyFill="1" applyBorder="1" applyAlignment="1">
      <alignment horizontal="center" vertical="center" wrapText="1"/>
    </xf>
    <xf numFmtId="166" fontId="0" fillId="17" borderId="1" xfId="0" applyNumberFormat="1" applyFont="1" applyFill="1" applyBorder="1" applyAlignment="1">
      <alignment horizontal="center" vertical="center" wrapText="1"/>
    </xf>
    <xf numFmtId="166" fontId="5" fillId="17" borderId="1" xfId="0" applyNumberFormat="1" applyFont="1" applyFill="1" applyBorder="1" applyAlignment="1">
      <alignment horizontal="center" vertical="center" wrapText="1"/>
    </xf>
    <xf numFmtId="164" fontId="5" fillId="17" borderId="1" xfId="0" applyNumberFormat="1" applyFont="1" applyFill="1" applyBorder="1" applyAlignment="1">
      <alignment horizontal="center" vertical="center" wrapText="1"/>
    </xf>
    <xf numFmtId="0" fontId="5" fillId="17" borderId="1" xfId="0" applyFont="1" applyFill="1" applyBorder="1" applyAlignment="1">
      <alignment vertical="center" wrapText="1"/>
    </xf>
    <xf numFmtId="0" fontId="5" fillId="17" borderId="1" xfId="0" applyFont="1" applyFill="1" applyBorder="1" applyAlignment="1">
      <alignment horizontal="center" vertical="center" wrapText="1"/>
    </xf>
    <xf numFmtId="0" fontId="8" fillId="17" borderId="1" xfId="0" applyFont="1" applyFill="1" applyBorder="1" applyAlignment="1">
      <alignment horizontal="center" vertical="center" wrapText="1"/>
    </xf>
    <xf numFmtId="164" fontId="8" fillId="17" borderId="6" xfId="0" applyNumberFormat="1" applyFont="1" applyFill="1" applyBorder="1" applyAlignment="1">
      <alignment horizontal="center" vertical="center" wrapText="1"/>
    </xf>
    <xf numFmtId="164" fontId="8" fillId="17" borderId="4" xfId="0" applyNumberFormat="1" applyFont="1" applyFill="1" applyBorder="1" applyAlignment="1" applyProtection="1">
      <alignment horizontal="center" vertical="center" wrapText="1"/>
    </xf>
    <xf numFmtId="166" fontId="8" fillId="17" borderId="1" xfId="0" applyNumberFormat="1" applyFont="1" applyFill="1" applyBorder="1" applyAlignment="1">
      <alignment horizontal="center" vertical="center" wrapText="1"/>
    </xf>
    <xf numFmtId="164" fontId="8" fillId="17" borderId="1" xfId="0" applyNumberFormat="1" applyFont="1" applyFill="1" applyBorder="1" applyAlignment="1">
      <alignment horizontal="center" vertical="center" wrapText="1"/>
    </xf>
    <xf numFmtId="0" fontId="9" fillId="17" borderId="1" xfId="0" applyFont="1" applyFill="1" applyBorder="1" applyAlignment="1">
      <alignment horizontal="center" vertical="center" wrapText="1"/>
    </xf>
    <xf numFmtId="0" fontId="8" fillId="17" borderId="1" xfId="0" applyNumberFormat="1" applyFont="1" applyFill="1" applyBorder="1" applyAlignment="1" applyProtection="1">
      <alignment vertical="center" wrapText="1"/>
    </xf>
    <xf numFmtId="0" fontId="8" fillId="17" borderId="1" xfId="0" applyNumberFormat="1" applyFont="1" applyFill="1" applyBorder="1" applyAlignment="1" applyProtection="1">
      <alignment horizontal="center" vertical="center"/>
    </xf>
    <xf numFmtId="0" fontId="0" fillId="17" borderId="0" xfId="0" applyNumberFormat="1" applyFill="1" applyAlignment="1" applyProtection="1"/>
    <xf numFmtId="0" fontId="3" fillId="17" borderId="0" xfId="0" applyNumberFormat="1" applyFont="1" applyFill="1" applyAlignment="1" applyProtection="1"/>
    <xf numFmtId="0" fontId="0" fillId="0" borderId="0" xfId="0" applyNumberFormat="1" applyFill="1" applyAlignment="1" applyProtection="1"/>
    <xf numFmtId="0" fontId="6" fillId="15" borderId="1" xfId="0" applyNumberFormat="1" applyFont="1" applyFill="1" applyBorder="1" applyAlignment="1" applyProtection="1">
      <alignment horizontal="center" vertical="center" wrapText="1"/>
    </xf>
    <xf numFmtId="0" fontId="3" fillId="15" borderId="1" xfId="0" applyNumberFormat="1" applyFont="1" applyFill="1" applyBorder="1" applyAlignment="1" applyProtection="1">
      <alignment horizontal="center" vertical="center" wrapText="1"/>
    </xf>
    <xf numFmtId="0" fontId="3" fillId="15" borderId="1" xfId="0" applyNumberFormat="1" applyFont="1" applyFill="1" applyBorder="1" applyAlignment="1" applyProtection="1">
      <alignment vertical="center" wrapText="1"/>
    </xf>
    <xf numFmtId="0" fontId="3" fillId="15" borderId="1" xfId="0" applyNumberFormat="1" applyFont="1" applyFill="1" applyBorder="1" applyAlignment="1" applyProtection="1">
      <alignment horizontal="center"/>
    </xf>
    <xf numFmtId="0" fontId="4" fillId="15" borderId="1" xfId="0" applyNumberFormat="1" applyFont="1" applyFill="1" applyBorder="1" applyAlignment="1" applyProtection="1">
      <alignment horizontal="center" vertical="center" wrapText="1"/>
    </xf>
    <xf numFmtId="15" fontId="3" fillId="15" borderId="1" xfId="0" applyNumberFormat="1" applyFont="1" applyFill="1" applyBorder="1" applyAlignment="1" applyProtection="1"/>
    <xf numFmtId="164" fontId="3" fillId="15" borderId="1" xfId="0" applyNumberFormat="1" applyFont="1" applyFill="1" applyBorder="1" applyAlignment="1" applyProtection="1">
      <alignment horizontal="center" vertical="center" wrapText="1"/>
    </xf>
    <xf numFmtId="164" fontId="16" fillId="15" borderId="1" xfId="0" applyNumberFormat="1" applyFont="1" applyFill="1" applyBorder="1" applyAlignment="1" applyProtection="1">
      <alignment horizontal="center" vertical="center" wrapText="1"/>
    </xf>
    <xf numFmtId="164" fontId="0" fillId="15" borderId="1" xfId="0" applyNumberFormat="1" applyFill="1" applyBorder="1" applyAlignment="1" applyProtection="1">
      <alignment horizontal="center" vertical="center" wrapText="1"/>
    </xf>
    <xf numFmtId="0" fontId="13" fillId="12" borderId="2" xfId="0" applyNumberFormat="1" applyFont="1" applyFill="1" applyBorder="1" applyAlignment="1" applyProtection="1">
      <alignment horizontal="center" vertical="center" wrapText="1"/>
    </xf>
    <xf numFmtId="0" fontId="13" fillId="12" borderId="1" xfId="0" applyNumberFormat="1" applyFont="1" applyFill="1" applyBorder="1" applyAlignment="1" applyProtection="1">
      <alignment horizontal="center" vertical="center" wrapText="1"/>
    </xf>
    <xf numFmtId="164" fontId="13" fillId="12" borderId="1" xfId="0" applyNumberFormat="1" applyFont="1" applyFill="1" applyBorder="1" applyAlignment="1" applyProtection="1">
      <alignment horizontal="center" vertical="center" wrapText="1"/>
    </xf>
    <xf numFmtId="164" fontId="13" fillId="12" borderId="10" xfId="0" applyNumberFormat="1" applyFont="1" applyFill="1" applyBorder="1" applyAlignment="1" applyProtection="1">
      <alignment horizontal="center" vertical="center" wrapText="1"/>
    </xf>
    <xf numFmtId="164" fontId="13" fillId="4" borderId="1" xfId="0" applyNumberFormat="1" applyFont="1" applyFill="1" applyBorder="1" applyAlignment="1" applyProtection="1">
      <alignment horizontal="center" vertical="center" wrapText="1"/>
    </xf>
    <xf numFmtId="16" fontId="1" fillId="15" borderId="1" xfId="0" applyNumberFormat="1" applyFont="1" applyFill="1" applyBorder="1" applyAlignment="1" applyProtection="1"/>
    <xf numFmtId="0" fontId="27" fillId="15" borderId="2" xfId="0" applyNumberFormat="1" applyFont="1" applyFill="1" applyBorder="1" applyAlignment="1" applyProtection="1">
      <alignment horizontal="center" vertical="center" wrapText="1"/>
    </xf>
    <xf numFmtId="0" fontId="27" fillId="15" borderId="1" xfId="0" applyNumberFormat="1" applyFont="1" applyFill="1" applyBorder="1" applyAlignment="1" applyProtection="1">
      <alignment horizontal="center" vertical="center" wrapText="1"/>
    </xf>
    <xf numFmtId="0" fontId="1" fillId="15" borderId="1" xfId="0" applyNumberFormat="1" applyFont="1" applyFill="1" applyBorder="1" applyAlignment="1" applyProtection="1">
      <alignment horizontal="center" vertical="center" wrapText="1"/>
    </xf>
    <xf numFmtId="0" fontId="1" fillId="15" borderId="1" xfId="0" applyNumberFormat="1" applyFont="1" applyFill="1" applyBorder="1" applyAlignment="1" applyProtection="1">
      <alignment vertical="center" wrapText="1"/>
    </xf>
    <xf numFmtId="0" fontId="0" fillId="15" borderId="1" xfId="0" applyNumberFormat="1" applyFill="1" applyBorder="1" applyAlignment="1" applyProtection="1">
      <alignment horizontal="center"/>
    </xf>
    <xf numFmtId="0" fontId="28" fillId="15" borderId="1" xfId="0" applyNumberFormat="1" applyFont="1" applyFill="1" applyBorder="1" applyAlignment="1" applyProtection="1">
      <alignment horizontal="center" vertical="center" wrapText="1"/>
    </xf>
    <xf numFmtId="0" fontId="0" fillId="15" borderId="4" xfId="0" applyNumberFormat="1" applyFill="1" applyBorder="1" applyAlignment="1" applyProtection="1">
      <alignment horizontal="center" vertical="center" wrapText="1"/>
    </xf>
    <xf numFmtId="15" fontId="0" fillId="15" borderId="1" xfId="0" applyNumberFormat="1" applyFill="1" applyBorder="1" applyAlignment="1" applyProtection="1"/>
    <xf numFmtId="164" fontId="0" fillId="15" borderId="2" xfId="0" applyNumberFormat="1" applyFill="1" applyBorder="1" applyAlignment="1" applyProtection="1">
      <alignment horizontal="center" vertical="center" wrapText="1"/>
    </xf>
    <xf numFmtId="164" fontId="1" fillId="15" borderId="1" xfId="0" applyNumberFormat="1" applyFont="1" applyFill="1" applyBorder="1" applyAlignment="1" applyProtection="1">
      <alignment horizontal="center" vertical="center" wrapText="1"/>
    </xf>
    <xf numFmtId="0" fontId="3" fillId="15" borderId="4" xfId="0" applyNumberFormat="1" applyFont="1" applyFill="1" applyBorder="1" applyAlignment="1" applyProtection="1">
      <alignment horizontal="center" vertical="center" wrapText="1"/>
    </xf>
    <xf numFmtId="164" fontId="3" fillId="15" borderId="2" xfId="0" applyNumberFormat="1" applyFont="1" applyFill="1" applyBorder="1" applyAlignment="1" applyProtection="1">
      <alignment horizontal="center" vertical="center" wrapText="1"/>
    </xf>
    <xf numFmtId="0" fontId="1" fillId="15" borderId="1" xfId="0" applyNumberFormat="1" applyFont="1" applyFill="1" applyBorder="1" applyAlignment="1" applyProtection="1"/>
    <xf numFmtId="0" fontId="0" fillId="15" borderId="1" xfId="0" applyNumberFormat="1" applyFill="1" applyBorder="1" applyAlignment="1" applyProtection="1"/>
    <xf numFmtId="0" fontId="0" fillId="15" borderId="1" xfId="0" applyNumberFormat="1" applyFill="1" applyBorder="1" applyAlignment="1" applyProtection="1">
      <alignment horizontal="center" vertical="center" wrapText="1"/>
    </xf>
    <xf numFmtId="0" fontId="29" fillId="15" borderId="1" xfId="0" applyNumberFormat="1" applyFont="1" applyFill="1" applyBorder="1" applyAlignment="1" applyProtection="1">
      <alignment horizontal="center" vertical="center" wrapText="1"/>
    </xf>
    <xf numFmtId="0" fontId="11" fillId="15" borderId="1" xfId="0" applyNumberFormat="1" applyFont="1" applyFill="1" applyBorder="1" applyAlignment="1" applyProtection="1">
      <alignment horizontal="center"/>
    </xf>
    <xf numFmtId="0" fontId="10" fillId="15" borderId="1" xfId="0" applyNumberFormat="1" applyFont="1" applyFill="1" applyBorder="1" applyAlignment="1" applyProtection="1">
      <alignment vertical="center" wrapText="1"/>
    </xf>
    <xf numFmtId="0" fontId="15" fillId="15" borderId="1" xfId="0" applyNumberFormat="1" applyFont="1" applyFill="1" applyBorder="1" applyAlignment="1" applyProtection="1">
      <alignment horizontal="center" vertical="center" wrapText="1"/>
    </xf>
    <xf numFmtId="0" fontId="16" fillId="15" borderId="1" xfId="0" applyNumberFormat="1" applyFont="1" applyFill="1" applyBorder="1" applyAlignment="1" applyProtection="1">
      <alignment horizontal="center" vertical="center" wrapText="1"/>
    </xf>
    <xf numFmtId="0" fontId="17" fillId="15" borderId="1" xfId="0" applyNumberFormat="1" applyFont="1" applyFill="1" applyBorder="1" applyAlignment="1" applyProtection="1">
      <alignment horizontal="center" vertical="center" wrapText="1"/>
    </xf>
    <xf numFmtId="0" fontId="16" fillId="15" borderId="1" xfId="0" applyNumberFormat="1" applyFont="1" applyFill="1" applyBorder="1" applyAlignment="1" applyProtection="1">
      <alignment vertical="center" wrapText="1"/>
    </xf>
    <xf numFmtId="0" fontId="24" fillId="15" borderId="1" xfId="0" applyNumberFormat="1" applyFont="1" applyFill="1" applyBorder="1" applyAlignment="1" applyProtection="1">
      <alignment horizontal="center" vertical="center" wrapText="1"/>
    </xf>
    <xf numFmtId="0" fontId="23" fillId="15" borderId="1" xfId="0" applyNumberFormat="1" applyFont="1" applyFill="1" applyBorder="1" applyAlignment="1" applyProtection="1">
      <alignment horizontal="center" vertical="center" wrapText="1"/>
    </xf>
    <xf numFmtId="0" fontId="24" fillId="15" borderId="1" xfId="0" applyNumberFormat="1" applyFont="1" applyFill="1" applyBorder="1" applyAlignment="1" applyProtection="1">
      <alignment vertical="center" wrapText="1"/>
    </xf>
    <xf numFmtId="0" fontId="25" fillId="15" borderId="1" xfId="0" applyNumberFormat="1" applyFont="1" applyFill="1" applyBorder="1" applyAlignment="1" applyProtection="1">
      <alignment horizontal="center" vertical="center" wrapText="1"/>
    </xf>
    <xf numFmtId="0" fontId="23" fillId="15" borderId="1" xfId="0" applyNumberFormat="1" applyFont="1" applyFill="1" applyBorder="1" applyAlignment="1" applyProtection="1">
      <alignment vertical="center" wrapText="1"/>
    </xf>
    <xf numFmtId="164" fontId="23" fillId="15" borderId="1" xfId="0" applyNumberFormat="1" applyFont="1" applyFill="1" applyBorder="1" applyAlignment="1" applyProtection="1">
      <alignment horizontal="center" vertical="center" wrapText="1"/>
    </xf>
    <xf numFmtId="0" fontId="24" fillId="15" borderId="1" xfId="0" applyNumberFormat="1" applyFont="1" applyFill="1" applyBorder="1" applyAlignment="1" applyProtection="1">
      <alignment horizontal="center"/>
    </xf>
    <xf numFmtId="0" fontId="26" fillId="15" borderId="1" xfId="0" applyNumberFormat="1" applyFont="1" applyFill="1" applyBorder="1" applyAlignment="1" applyProtection="1">
      <alignment horizontal="center" vertical="center" wrapText="1"/>
    </xf>
    <xf numFmtId="164" fontId="23" fillId="15" borderId="1" xfId="0" applyNumberFormat="1" applyFont="1" applyFill="1" applyBorder="1" applyAlignment="1" applyProtection="1"/>
    <xf numFmtId="0" fontId="15" fillId="15" borderId="1" xfId="0" applyNumberFormat="1" applyFont="1" applyFill="1" applyBorder="1" applyAlignment="1" applyProtection="1">
      <alignment horizontal="center"/>
    </xf>
    <xf numFmtId="0" fontId="15" fillId="15" borderId="3" xfId="0" applyNumberFormat="1" applyFont="1" applyFill="1" applyBorder="1" applyAlignment="1" applyProtection="1">
      <alignment horizontal="center" vertical="center" wrapText="1"/>
    </xf>
    <xf numFmtId="0" fontId="16" fillId="15" borderId="3" xfId="0" applyNumberFormat="1" applyFont="1" applyFill="1" applyBorder="1" applyAlignment="1" applyProtection="1">
      <alignment horizontal="center" vertical="center" wrapText="1"/>
    </xf>
    <xf numFmtId="0" fontId="16" fillId="15" borderId="3" xfId="0" applyNumberFormat="1" applyFont="1" applyFill="1" applyBorder="1" applyAlignment="1" applyProtection="1">
      <alignment vertical="center" wrapText="1"/>
    </xf>
    <xf numFmtId="0" fontId="16" fillId="15" borderId="3" xfId="0" applyNumberFormat="1" applyFont="1" applyFill="1" applyBorder="1" applyAlignment="1" applyProtection="1">
      <alignment horizontal="center"/>
    </xf>
    <xf numFmtId="164" fontId="16" fillId="15" borderId="3" xfId="0" applyNumberFormat="1" applyFont="1" applyFill="1" applyBorder="1" applyAlignment="1" applyProtection="1">
      <alignment horizontal="center" vertical="center" wrapText="1"/>
    </xf>
    <xf numFmtId="0" fontId="23" fillId="15" borderId="1" xfId="0" applyNumberFormat="1" applyFont="1" applyFill="1" applyBorder="1" applyAlignment="1" applyProtection="1">
      <alignment horizontal="center"/>
    </xf>
    <xf numFmtId="0" fontId="23" fillId="15" borderId="4" xfId="0" applyNumberFormat="1" applyFont="1" applyFill="1" applyBorder="1" applyAlignment="1" applyProtection="1">
      <alignment horizontal="center" vertical="center" wrapText="1"/>
    </xf>
    <xf numFmtId="15" fontId="23" fillId="15" borderId="1" xfId="0" applyNumberFormat="1" applyFont="1" applyFill="1" applyBorder="1" applyAlignment="1" applyProtection="1"/>
    <xf numFmtId="164" fontId="23" fillId="15" borderId="2" xfId="0" applyNumberFormat="1" applyFont="1" applyFill="1" applyBorder="1" applyAlignment="1" applyProtection="1">
      <alignment horizontal="center" vertical="center" wrapText="1"/>
    </xf>
    <xf numFmtId="0" fontId="17" fillId="15" borderId="3" xfId="0" applyNumberFormat="1" applyFont="1" applyFill="1" applyBorder="1" applyAlignment="1" applyProtection="1">
      <alignment horizontal="center" vertical="center" wrapText="1"/>
    </xf>
    <xf numFmtId="0" fontId="16" fillId="15" borderId="6" xfId="0" applyNumberFormat="1" applyFont="1" applyFill="1" applyBorder="1" applyAlignment="1" applyProtection="1">
      <alignment horizontal="center" vertical="center" wrapText="1"/>
    </xf>
    <xf numFmtId="15" fontId="16" fillId="15" borderId="3" xfId="0" applyNumberFormat="1" applyFont="1" applyFill="1" applyBorder="1" applyAlignment="1" applyProtection="1"/>
    <xf numFmtId="164" fontId="16" fillId="15" borderId="9" xfId="0" applyNumberFormat="1" applyFont="1" applyFill="1" applyBorder="1" applyAlignment="1" applyProtection="1">
      <alignment horizontal="center" vertical="center" wrapText="1"/>
    </xf>
    <xf numFmtId="0" fontId="22" fillId="15" borderId="1" xfId="0" applyNumberFormat="1" applyFont="1" applyFill="1" applyBorder="1" applyAlignment="1" applyProtection="1">
      <alignment horizontal="center" vertical="center" wrapText="1"/>
    </xf>
    <xf numFmtId="0" fontId="24" fillId="15" borderId="3" xfId="0" applyNumberFormat="1" applyFont="1" applyFill="1" applyBorder="1" applyAlignment="1" applyProtection="1">
      <alignment horizontal="center" vertical="center" wrapText="1"/>
    </xf>
    <xf numFmtId="0" fontId="23" fillId="15" borderId="3" xfId="0" applyNumberFormat="1" applyFont="1" applyFill="1" applyBorder="1" applyAlignment="1" applyProtection="1">
      <alignment horizontal="center" vertical="center" wrapText="1"/>
    </xf>
    <xf numFmtId="0" fontId="25" fillId="15" borderId="3" xfId="0" applyNumberFormat="1" applyFont="1" applyFill="1" applyBorder="1" applyAlignment="1" applyProtection="1">
      <alignment horizontal="center" vertical="center" wrapText="1"/>
    </xf>
    <xf numFmtId="0" fontId="23" fillId="15" borderId="3" xfId="0" applyNumberFormat="1" applyFont="1" applyFill="1" applyBorder="1" applyAlignment="1" applyProtection="1">
      <alignment vertical="center" wrapText="1"/>
    </xf>
    <xf numFmtId="0" fontId="23" fillId="15" borderId="0" xfId="0" applyNumberFormat="1" applyFont="1" applyFill="1" applyAlignment="1" applyProtection="1">
      <alignment horizontal="center" vertical="center"/>
    </xf>
    <xf numFmtId="164" fontId="23" fillId="15" borderId="3" xfId="0" applyNumberFormat="1" applyFont="1" applyFill="1" applyBorder="1" applyAlignment="1" applyProtection="1">
      <alignment horizontal="center" vertical="center" wrapText="1"/>
    </xf>
    <xf numFmtId="0" fontId="6" fillId="15" borderId="3" xfId="0" applyNumberFormat="1" applyFont="1" applyFill="1" applyBorder="1" applyAlignment="1" applyProtection="1">
      <alignment horizontal="center" vertical="center" wrapText="1"/>
    </xf>
    <xf numFmtId="0" fontId="27" fillId="15" borderId="3" xfId="0" applyNumberFormat="1" applyFont="1" applyFill="1" applyBorder="1" applyAlignment="1" applyProtection="1">
      <alignment horizontal="center" vertical="center" wrapText="1"/>
    </xf>
    <xf numFmtId="0" fontId="1" fillId="15" borderId="3" xfId="0" applyNumberFormat="1" applyFont="1" applyFill="1" applyBorder="1" applyAlignment="1" applyProtection="1">
      <alignment horizontal="center" vertical="center" wrapText="1"/>
    </xf>
    <xf numFmtId="0" fontId="0" fillId="15" borderId="3" xfId="0" applyNumberFormat="1" applyFill="1" applyBorder="1" applyAlignment="1" applyProtection="1">
      <alignment horizontal="center" vertical="center" wrapText="1"/>
    </xf>
    <xf numFmtId="0" fontId="28" fillId="15" borderId="3" xfId="0" applyNumberFormat="1" applyFont="1" applyFill="1" applyBorder="1" applyAlignment="1" applyProtection="1">
      <alignment horizontal="center" vertical="center" wrapText="1"/>
    </xf>
    <xf numFmtId="0" fontId="1" fillId="15" borderId="3" xfId="0" applyNumberFormat="1" applyFont="1" applyFill="1" applyBorder="1" applyAlignment="1" applyProtection="1">
      <alignment vertical="center" wrapText="1"/>
    </xf>
    <xf numFmtId="0" fontId="0" fillId="15" borderId="3" xfId="0" applyNumberFormat="1" applyFill="1" applyBorder="1" applyAlignment="1" applyProtection="1">
      <alignment horizontal="center" vertical="center"/>
    </xf>
    <xf numFmtId="164" fontId="0" fillId="15" borderId="3" xfId="0" applyNumberFormat="1" applyFill="1" applyBorder="1" applyAlignment="1" applyProtection="1">
      <alignment horizontal="center" vertical="center" wrapText="1"/>
    </xf>
    <xf numFmtId="164" fontId="3" fillId="15" borderId="3" xfId="0" applyNumberFormat="1" applyFont="1" applyFill="1" applyBorder="1" applyAlignment="1" applyProtection="1">
      <alignment horizontal="center" vertical="center" wrapText="1"/>
    </xf>
    <xf numFmtId="0" fontId="15" fillId="11" borderId="1" xfId="0" applyNumberFormat="1" applyFont="1" applyFill="1" applyBorder="1" applyAlignment="1" applyProtection="1">
      <alignment horizontal="center" vertical="center" wrapText="1"/>
    </xf>
    <xf numFmtId="0" fontId="15" fillId="10" borderId="1" xfId="0" applyNumberFormat="1" applyFont="1" applyFill="1" applyBorder="1" applyAlignment="1" applyProtection="1">
      <alignment horizontal="center" vertical="center" wrapText="1"/>
    </xf>
    <xf numFmtId="0" fontId="16" fillId="10" borderId="1" xfId="0" applyNumberFormat="1" applyFont="1" applyFill="1" applyBorder="1" applyAlignment="1" applyProtection="1">
      <alignment horizontal="center" vertical="center" wrapText="1"/>
    </xf>
    <xf numFmtId="0" fontId="17" fillId="10" borderId="1" xfId="0" applyNumberFormat="1" applyFont="1" applyFill="1" applyBorder="1" applyAlignment="1" applyProtection="1">
      <alignment horizontal="center" vertical="center" wrapText="1"/>
    </xf>
    <xf numFmtId="0" fontId="16" fillId="10" borderId="1" xfId="0" applyNumberFormat="1" applyFont="1" applyFill="1" applyBorder="1" applyAlignment="1" applyProtection="1">
      <alignment horizontal="center" vertical="center"/>
    </xf>
    <xf numFmtId="164" fontId="16" fillId="10" borderId="1" xfId="0" applyNumberFormat="1" applyFont="1" applyFill="1" applyBorder="1" applyAlignment="1" applyProtection="1">
      <alignment horizontal="center" vertical="center" wrapText="1"/>
    </xf>
    <xf numFmtId="164" fontId="16" fillId="11" borderId="1" xfId="0" applyNumberFormat="1" applyFont="1" applyFill="1" applyBorder="1" applyAlignment="1" applyProtection="1">
      <alignment horizontal="center" vertical="center" wrapText="1"/>
    </xf>
    <xf numFmtId="0" fontId="27" fillId="11" borderId="0" xfId="0" applyNumberFormat="1" applyFont="1" applyFill="1" applyAlignment="1" applyProtection="1">
      <alignment horizontal="center" vertical="center" wrapText="1"/>
    </xf>
    <xf numFmtId="0" fontId="27" fillId="10" borderId="0" xfId="0" applyNumberFormat="1" applyFont="1" applyFill="1" applyAlignment="1" applyProtection="1">
      <alignment horizontal="center" vertical="center" wrapText="1"/>
    </xf>
    <xf numFmtId="0" fontId="1" fillId="10" borderId="0" xfId="0" applyNumberFormat="1" applyFont="1" applyFill="1" applyAlignment="1" applyProtection="1">
      <alignment horizontal="center" vertical="center" wrapText="1"/>
    </xf>
    <xf numFmtId="0" fontId="0" fillId="10" borderId="0" xfId="0" applyNumberFormat="1" applyFill="1" applyAlignment="1" applyProtection="1">
      <alignment horizontal="center" vertical="center" wrapText="1"/>
    </xf>
    <xf numFmtId="0" fontId="27" fillId="10" borderId="0" xfId="0" applyNumberFormat="1" applyFont="1" applyFill="1" applyAlignment="1" applyProtection="1">
      <alignment vertical="center" wrapText="1"/>
    </xf>
    <xf numFmtId="0" fontId="28" fillId="10" borderId="0" xfId="0" applyNumberFormat="1" applyFont="1" applyFill="1" applyAlignment="1" applyProtection="1">
      <alignment horizontal="center" vertical="center" wrapText="1"/>
    </xf>
    <xf numFmtId="0" fontId="1" fillId="10" borderId="0" xfId="0" applyNumberFormat="1" applyFont="1" applyFill="1" applyAlignment="1" applyProtection="1">
      <alignment vertical="center" wrapText="1"/>
    </xf>
    <xf numFmtId="0" fontId="0" fillId="10" borderId="0" xfId="0" applyNumberFormat="1" applyFill="1" applyAlignment="1" applyProtection="1">
      <alignment horizontal="center" vertical="center"/>
    </xf>
    <xf numFmtId="164" fontId="0" fillId="10" borderId="0" xfId="0" applyNumberFormat="1" applyFill="1" applyAlignment="1" applyProtection="1">
      <alignment horizontal="center" vertical="center" wrapText="1"/>
    </xf>
    <xf numFmtId="164" fontId="3" fillId="10" borderId="0" xfId="0" applyNumberFormat="1" applyFont="1" applyFill="1" applyAlignment="1" applyProtection="1">
      <alignment horizontal="center" vertical="center" wrapText="1"/>
    </xf>
    <xf numFmtId="164" fontId="3" fillId="11" borderId="0" xfId="0" applyNumberFormat="1" applyFont="1" applyFill="1" applyAlignment="1" applyProtection="1">
      <alignment horizontal="center" vertical="center" wrapText="1"/>
    </xf>
    <xf numFmtId="164" fontId="3" fillId="11" borderId="1" xfId="0" applyNumberFormat="1" applyFont="1" applyFill="1" applyBorder="1" applyAlignment="1" applyProtection="1">
      <alignment horizontal="center" vertical="center" wrapText="1"/>
    </xf>
    <xf numFmtId="0" fontId="0" fillId="0" borderId="0" xfId="0" applyNumberFormat="1" applyFill="1" applyAlignment="1" applyProtection="1">
      <alignment horizontal="center"/>
    </xf>
    <xf numFmtId="164" fontId="0" fillId="0" borderId="0" xfId="0" applyNumberFormat="1" applyFill="1" applyAlignment="1" applyProtection="1"/>
    <xf numFmtId="0" fontId="3" fillId="0" borderId="0" xfId="0" applyNumberFormat="1" applyFont="1" applyFill="1" applyAlignment="1" applyProtection="1"/>
    <xf numFmtId="0" fontId="1" fillId="15" borderId="0" xfId="0" applyNumberFormat="1" applyFont="1" applyFill="1" applyAlignment="1" applyProtection="1"/>
    <xf numFmtId="0" fontId="0" fillId="15" borderId="0" xfId="0" applyNumberFormat="1" applyFill="1" applyAlignment="1" applyProtection="1"/>
    <xf numFmtId="0" fontId="16" fillId="15" borderId="0" xfId="0" applyNumberFormat="1" applyFont="1" applyFill="1" applyAlignment="1" applyProtection="1"/>
    <xf numFmtId="0" fontId="23" fillId="15" borderId="0" xfId="0" applyNumberFormat="1" applyFont="1" applyFill="1" applyAlignment="1" applyProtection="1"/>
    <xf numFmtId="0" fontId="1" fillId="15" borderId="3" xfId="0" applyNumberFormat="1" applyFont="1" applyFill="1" applyBorder="1" applyAlignment="1" applyProtection="1"/>
    <xf numFmtId="0" fontId="16" fillId="10" borderId="1" xfId="0" applyNumberFormat="1" applyFont="1" applyFill="1" applyBorder="1" applyAlignment="1" applyProtection="1"/>
    <xf numFmtId="0" fontId="1" fillId="10" borderId="0" xfId="0" applyNumberFormat="1" applyFont="1" applyFill="1" applyAlignment="1" applyProtection="1"/>
    <xf numFmtId="0" fontId="12" fillId="5" borderId="0" xfId="0" applyNumberFormat="1" applyFont="1" applyFill="1" applyAlignment="1" applyProtection="1"/>
    <xf numFmtId="15" fontId="12" fillId="5" borderId="1" xfId="0" applyNumberFormat="1" applyFont="1" applyFill="1" applyBorder="1" applyAlignment="1" applyProtection="1"/>
    <xf numFmtId="0" fontId="12" fillId="5" borderId="1" xfId="0" applyNumberFormat="1" applyFont="1" applyFill="1" applyBorder="1" applyAlignment="1" applyProtection="1">
      <alignment horizontal="center" vertical="center" wrapText="1"/>
    </xf>
    <xf numFmtId="49" fontId="12" fillId="5" borderId="1" xfId="0" applyNumberFormat="1" applyFont="1" applyFill="1" applyBorder="1" applyAlignment="1" applyProtection="1"/>
    <xf numFmtId="0" fontId="12" fillId="5" borderId="1" xfId="0" applyNumberFormat="1" applyFont="1" applyFill="1" applyBorder="1" applyAlignment="1" applyProtection="1">
      <alignment horizontal="center"/>
    </xf>
    <xf numFmtId="0" fontId="12" fillId="5" borderId="1" xfId="0" applyNumberFormat="1" applyFont="1" applyFill="1" applyBorder="1" applyAlignment="1" applyProtection="1"/>
    <xf numFmtId="164" fontId="12" fillId="5" borderId="1" xfId="0" applyNumberFormat="1" applyFont="1" applyFill="1" applyBorder="1" applyAlignment="1" applyProtection="1"/>
    <xf numFmtId="164" fontId="12" fillId="5" borderId="1" xfId="0" applyNumberFormat="1" applyFont="1" applyFill="1" applyBorder="1" applyAlignment="1" applyProtection="1">
      <alignment horizontal="center"/>
    </xf>
    <xf numFmtId="164" fontId="18" fillId="11" borderId="1" xfId="0" applyNumberFormat="1" applyFont="1" applyFill="1" applyBorder="1" applyAlignment="1" applyProtection="1">
      <alignment horizontal="center" vertical="center" wrapText="1"/>
    </xf>
    <xf numFmtId="0" fontId="12" fillId="8" borderId="1" xfId="0" applyNumberFormat="1" applyFont="1" applyFill="1" applyBorder="1" applyAlignment="1" applyProtection="1">
      <alignment horizontal="center" vertical="center" wrapText="1"/>
    </xf>
    <xf numFmtId="49" fontId="12" fillId="8" borderId="1" xfId="0" applyNumberFormat="1" applyFont="1" applyFill="1" applyBorder="1" applyAlignment="1" applyProtection="1">
      <alignment horizontal="center" vertical="center" wrapText="1"/>
    </xf>
    <xf numFmtId="0" fontId="12" fillId="3" borderId="1" xfId="0" applyNumberFormat="1" applyFont="1" applyFill="1" applyBorder="1" applyAlignment="1" applyProtection="1">
      <alignment horizontal="center" vertical="center" wrapText="1"/>
    </xf>
    <xf numFmtId="0" fontId="12" fillId="8" borderId="1" xfId="0" applyNumberFormat="1" applyFont="1" applyFill="1" applyBorder="1" applyAlignment="1" applyProtection="1">
      <alignment vertical="center" wrapText="1"/>
    </xf>
    <xf numFmtId="164" fontId="12" fillId="8" borderId="1" xfId="0" applyNumberFormat="1" applyFont="1" applyFill="1" applyBorder="1" applyAlignment="1" applyProtection="1">
      <alignment horizontal="center" vertical="center" wrapText="1"/>
    </xf>
    <xf numFmtId="164" fontId="12" fillId="4" borderId="1" xfId="0" applyNumberFormat="1" applyFont="1" applyFill="1" applyBorder="1" applyAlignment="1" applyProtection="1">
      <alignment horizontal="center" vertical="center" wrapText="1"/>
    </xf>
    <xf numFmtId="0" fontId="12" fillId="9" borderId="1" xfId="0" applyNumberFormat="1" applyFont="1" applyFill="1" applyBorder="1" applyAlignment="1" applyProtection="1">
      <alignment horizontal="center" vertical="center" wrapText="1"/>
    </xf>
    <xf numFmtId="49" fontId="12" fillId="9" borderId="1" xfId="0" applyNumberFormat="1" applyFont="1" applyFill="1" applyBorder="1" applyAlignment="1" applyProtection="1">
      <alignment horizontal="center" vertical="center" wrapText="1"/>
    </xf>
    <xf numFmtId="0" fontId="12" fillId="9" borderId="1" xfId="0" applyNumberFormat="1" applyFont="1" applyFill="1" applyBorder="1" applyAlignment="1" applyProtection="1">
      <alignment vertical="center" wrapText="1"/>
    </xf>
    <xf numFmtId="0" fontId="19" fillId="9" borderId="1" xfId="0" applyNumberFormat="1" applyFont="1" applyFill="1" applyBorder="1" applyAlignment="1" applyProtection="1">
      <alignment horizontal="center" vertical="center" wrapText="1"/>
    </xf>
    <xf numFmtId="165" fontId="12" fillId="9" borderId="1" xfId="0" applyNumberFormat="1" applyFont="1" applyFill="1" applyBorder="1" applyAlignment="1" applyProtection="1">
      <alignment horizontal="center" vertical="center" wrapText="1"/>
    </xf>
    <xf numFmtId="0" fontId="12" fillId="9" borderId="1" xfId="0" applyNumberFormat="1" applyFont="1" applyFill="1" applyBorder="1" applyAlignment="1" applyProtection="1"/>
    <xf numFmtId="164" fontId="12" fillId="9" borderId="1" xfId="0" applyNumberFormat="1" applyFont="1" applyFill="1" applyBorder="1" applyAlignment="1" applyProtection="1">
      <alignment horizontal="center" vertical="center" wrapText="1"/>
    </xf>
    <xf numFmtId="0" fontId="12" fillId="5" borderId="1" xfId="0" applyNumberFormat="1" applyFont="1" applyFill="1" applyBorder="1" applyAlignment="1" applyProtection="1">
      <alignment vertical="center" wrapText="1"/>
    </xf>
    <xf numFmtId="0" fontId="18" fillId="5" borderId="1" xfId="0" applyNumberFormat="1" applyFont="1" applyFill="1" applyBorder="1" applyAlignment="1" applyProtection="1">
      <alignment horizontal="center" vertical="center" wrapText="1"/>
    </xf>
    <xf numFmtId="49" fontId="18" fillId="5" borderId="1" xfId="0" applyNumberFormat="1" applyFont="1" applyFill="1" applyBorder="1" applyAlignment="1" applyProtection="1">
      <alignment horizontal="center" vertical="center" wrapText="1"/>
    </xf>
    <xf numFmtId="165" fontId="18" fillId="5" borderId="1" xfId="0" applyNumberFormat="1" applyFont="1" applyFill="1" applyBorder="1" applyAlignment="1" applyProtection="1">
      <alignment horizontal="center" vertical="center" wrapText="1"/>
    </xf>
    <xf numFmtId="0" fontId="18" fillId="5" borderId="1" xfId="0" applyNumberFormat="1" applyFont="1" applyFill="1" applyBorder="1" applyAlignment="1" applyProtection="1">
      <alignment vertical="center"/>
    </xf>
    <xf numFmtId="164" fontId="18" fillId="5" borderId="1" xfId="0" applyNumberFormat="1" applyFont="1" applyFill="1" applyBorder="1" applyAlignment="1" applyProtection="1">
      <alignment horizontal="center" vertical="center" wrapText="1"/>
    </xf>
    <xf numFmtId="49" fontId="12" fillId="5" borderId="1" xfId="0" applyNumberFormat="1" applyFont="1" applyFill="1" applyBorder="1" applyAlignment="1" applyProtection="1">
      <alignment horizontal="center" vertical="center" wrapText="1"/>
    </xf>
    <xf numFmtId="165" fontId="12" fillId="5" borderId="1" xfId="0" applyNumberFormat="1" applyFont="1" applyFill="1" applyBorder="1" applyAlignment="1" applyProtection="1">
      <alignment horizontal="center" vertical="center" wrapText="1"/>
    </xf>
    <xf numFmtId="164" fontId="12" fillId="5" borderId="1" xfId="0" applyNumberFormat="1" applyFont="1" applyFill="1" applyBorder="1" applyAlignment="1" applyProtection="1">
      <alignment horizontal="center" vertical="center" wrapText="1"/>
    </xf>
    <xf numFmtId="0" fontId="12" fillId="5" borderId="1" xfId="0" applyNumberFormat="1" applyFont="1" applyFill="1" applyBorder="1" applyAlignment="1" applyProtection="1">
      <alignment vertical="center"/>
    </xf>
    <xf numFmtId="164" fontId="12" fillId="5" borderId="1" xfId="0" applyNumberFormat="1" applyFont="1" applyFill="1" applyBorder="1" applyAlignment="1" applyProtection="1">
      <alignment horizontal="center" vertical="center"/>
    </xf>
    <xf numFmtId="0" fontId="12" fillId="5" borderId="1" xfId="0" applyNumberFormat="1" applyFont="1" applyFill="1" applyBorder="1" applyAlignment="1" applyProtection="1">
      <alignment horizontal="center" vertical="center"/>
    </xf>
    <xf numFmtId="15" fontId="12" fillId="5" borderId="1" xfId="0" applyNumberFormat="1" applyFont="1" applyFill="1" applyBorder="1" applyAlignment="1" applyProtection="1">
      <alignment vertical="center"/>
    </xf>
    <xf numFmtId="0" fontId="12" fillId="5" borderId="1" xfId="0" applyNumberFormat="1" applyFont="1" applyFill="1" applyBorder="1" applyAlignment="1" applyProtection="1">
      <alignment horizontal="left" vertical="center"/>
    </xf>
    <xf numFmtId="0" fontId="6" fillId="15" borderId="2" xfId="0" applyNumberFormat="1" applyFont="1" applyFill="1" applyBorder="1" applyAlignment="1" applyProtection="1">
      <alignment horizontal="center" vertical="center" wrapText="1"/>
    </xf>
    <xf numFmtId="0" fontId="24" fillId="15" borderId="2" xfId="0" applyNumberFormat="1" applyFont="1" applyFill="1" applyBorder="1" applyAlignment="1" applyProtection="1">
      <alignment horizontal="center" vertical="center" wrapText="1"/>
    </xf>
    <xf numFmtId="49" fontId="12" fillId="5" borderId="0" xfId="0" applyNumberFormat="1" applyFont="1" applyFill="1" applyAlignment="1" applyProtection="1"/>
    <xf numFmtId="15" fontId="12" fillId="5" borderId="1" xfId="0" applyNumberFormat="1" applyFont="1" applyFill="1" applyBorder="1" applyAlignment="1" applyProtection="1">
      <alignment horizontal="center" vertical="center" wrapText="1"/>
    </xf>
    <xf numFmtId="165" fontId="12" fillId="5" borderId="1" xfId="0" applyNumberFormat="1" applyFont="1" applyFill="1" applyBorder="1" applyAlignment="1" applyProtection="1">
      <alignment vertical="center" wrapText="1"/>
    </xf>
    <xf numFmtId="165" fontId="12" fillId="9" borderId="1" xfId="0" applyNumberFormat="1" applyFont="1" applyFill="1" applyBorder="1" applyAlignment="1" applyProtection="1">
      <alignment vertical="center" wrapText="1"/>
    </xf>
    <xf numFmtId="49" fontId="12" fillId="9" borderId="1" xfId="0" applyNumberFormat="1" applyFont="1" applyFill="1" applyBorder="1" applyAlignment="1" applyProtection="1"/>
    <xf numFmtId="164" fontId="12" fillId="9" borderId="1" xfId="0" applyNumberFormat="1" applyFont="1" applyFill="1" applyBorder="1" applyAlignment="1" applyProtection="1"/>
    <xf numFmtId="164" fontId="12" fillId="9" borderId="1" xfId="0" applyNumberFormat="1" applyFont="1" applyFill="1" applyBorder="1" applyAlignment="1" applyProtection="1">
      <alignment horizontal="center"/>
    </xf>
    <xf numFmtId="49" fontId="12" fillId="5" borderId="1" xfId="0" applyNumberFormat="1" applyFont="1" applyFill="1" applyBorder="1" applyAlignment="1" applyProtection="1">
      <alignment vertical="center"/>
    </xf>
    <xf numFmtId="15" fontId="12" fillId="5" borderId="1" xfId="0" applyNumberFormat="1" applyFont="1" applyFill="1" applyBorder="1" applyAlignment="1" applyProtection="1">
      <alignment horizontal="center" vertical="center"/>
    </xf>
    <xf numFmtId="49" fontId="12" fillId="5" borderId="1" xfId="0" applyNumberFormat="1" applyFont="1" applyFill="1" applyBorder="1" applyAlignment="1" applyProtection="1">
      <alignment horizontal="center" vertical="center"/>
    </xf>
    <xf numFmtId="164" fontId="12" fillId="5" borderId="1" xfId="0" applyNumberFormat="1" applyFont="1" applyFill="1" applyBorder="1" applyAlignment="1" applyProtection="1">
      <alignment vertical="center"/>
    </xf>
    <xf numFmtId="0" fontId="19" fillId="5" borderId="1" xfId="0" applyNumberFormat="1" applyFont="1" applyFill="1" applyBorder="1" applyAlignment="1" applyProtection="1">
      <alignment horizontal="center" vertical="center" wrapText="1"/>
    </xf>
    <xf numFmtId="0" fontId="20" fillId="5" borderId="1" xfId="0" applyNumberFormat="1" applyFont="1" applyFill="1" applyBorder="1" applyAlignment="1" applyProtection="1">
      <alignment horizontal="center" vertical="center" wrapText="1"/>
    </xf>
    <xf numFmtId="0" fontId="20" fillId="5" borderId="1" xfId="0" applyNumberFormat="1" applyFont="1" applyFill="1" applyBorder="1" applyAlignment="1" applyProtection="1">
      <alignment vertical="center" wrapText="1"/>
    </xf>
    <xf numFmtId="165" fontId="20" fillId="5" borderId="1" xfId="0" applyNumberFormat="1" applyFont="1" applyFill="1" applyBorder="1" applyAlignment="1" applyProtection="1">
      <alignment horizontal="center" vertical="center" wrapText="1"/>
    </xf>
    <xf numFmtId="0" fontId="20" fillId="5" borderId="1" xfId="0" applyNumberFormat="1" applyFont="1" applyFill="1" applyBorder="1" applyAlignment="1" applyProtection="1"/>
    <xf numFmtId="164" fontId="20" fillId="5" borderId="1" xfId="0" applyNumberFormat="1" applyFont="1" applyFill="1" applyBorder="1" applyAlignment="1" applyProtection="1">
      <alignment horizontal="center" vertical="center" wrapText="1"/>
    </xf>
    <xf numFmtId="0" fontId="21" fillId="5" borderId="1" xfId="0" applyNumberFormat="1" applyFont="1" applyFill="1" applyBorder="1" applyAlignment="1" applyProtection="1">
      <alignment horizontal="center" vertical="center" wrapText="1"/>
    </xf>
    <xf numFmtId="165" fontId="20" fillId="5" borderId="1" xfId="0" applyNumberFormat="1" applyFont="1" applyFill="1" applyBorder="1" applyAlignment="1" applyProtection="1">
      <alignment vertical="center" wrapText="1"/>
    </xf>
    <xf numFmtId="164" fontId="20" fillId="5" borderId="1" xfId="0" applyNumberFormat="1" applyFont="1" applyFill="1" applyBorder="1" applyAlignment="1" applyProtection="1">
      <alignment horizontal="center"/>
    </xf>
    <xf numFmtId="49" fontId="20" fillId="5" borderId="1" xfId="0" applyNumberFormat="1" applyFont="1" applyFill="1" applyBorder="1" applyAlignment="1" applyProtection="1">
      <alignment horizontal="center" vertical="center" wrapText="1"/>
    </xf>
    <xf numFmtId="164" fontId="20" fillId="5" borderId="1" xfId="0" applyNumberFormat="1" applyFont="1" applyFill="1" applyBorder="1" applyAlignment="1" applyProtection="1"/>
    <xf numFmtId="14" fontId="20" fillId="5" borderId="1" xfId="0" applyNumberFormat="1" applyFont="1" applyFill="1" applyBorder="1" applyAlignment="1" applyProtection="1"/>
    <xf numFmtId="0" fontId="20" fillId="5" borderId="1" xfId="0" applyNumberFormat="1" applyFont="1" applyFill="1" applyBorder="1" applyAlignment="1" applyProtection="1">
      <alignment horizontal="center" vertical="center"/>
    </xf>
    <xf numFmtId="0" fontId="20" fillId="5" borderId="1" xfId="0" applyNumberFormat="1" applyFont="1" applyFill="1" applyBorder="1" applyAlignment="1" applyProtection="1">
      <alignment horizontal="center"/>
    </xf>
    <xf numFmtId="49" fontId="20" fillId="5" borderId="1" xfId="0" applyNumberFormat="1" applyFont="1" applyFill="1" applyBorder="1" applyAlignment="1" applyProtection="1"/>
    <xf numFmtId="0" fontId="21" fillId="5" borderId="1" xfId="0" applyNumberFormat="1" applyFont="1" applyFill="1" applyBorder="1" applyAlignment="1" applyProtection="1">
      <alignment vertical="center" wrapText="1"/>
    </xf>
    <xf numFmtId="15" fontId="20" fillId="5" borderId="1" xfId="0" applyNumberFormat="1" applyFont="1" applyFill="1" applyBorder="1" applyAlignment="1" applyProtection="1">
      <alignment horizontal="center"/>
    </xf>
    <xf numFmtId="0" fontId="12" fillId="5" borderId="0" xfId="0" applyNumberFormat="1" applyFont="1" applyFill="1" applyAlignment="1" applyProtection="1">
      <alignment horizontal="center"/>
    </xf>
    <xf numFmtId="164" fontId="12" fillId="5" borderId="0" xfId="0" applyNumberFormat="1" applyFont="1" applyFill="1" applyAlignment="1" applyProtection="1"/>
    <xf numFmtId="164" fontId="12" fillId="5" borderId="0" xfId="0" applyNumberFormat="1" applyFont="1" applyFill="1" applyAlignment="1" applyProtection="1">
      <alignment horizontal="center"/>
    </xf>
    <xf numFmtId="0" fontId="12" fillId="16" borderId="0" xfId="0" applyNumberFormat="1" applyFont="1" applyFill="1" applyAlignment="1" applyProtection="1"/>
    <xf numFmtId="0" fontId="18" fillId="5" borderId="0" xfId="0" applyNumberFormat="1" applyFont="1" applyFill="1" applyAlignment="1" applyProtection="1"/>
    <xf numFmtId="0" fontId="12" fillId="5" borderId="0" xfId="0" applyNumberFormat="1" applyFont="1" applyFill="1" applyAlignment="1" applyProtection="1">
      <alignment vertical="center"/>
    </xf>
    <xf numFmtId="164" fontId="3" fillId="6" borderId="4" xfId="0" applyNumberFormat="1" applyFont="1" applyFill="1" applyBorder="1" applyAlignment="1" applyProtection="1">
      <alignment horizontal="center" vertical="center" wrapText="1"/>
    </xf>
    <xf numFmtId="0" fontId="0" fillId="6" borderId="2" xfId="0" applyNumberForma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horizontal="center" vertical="center" wrapText="1"/>
    </xf>
    <xf numFmtId="0" fontId="6" fillId="6" borderId="1" xfId="0" applyNumberFormat="1" applyFont="1" applyFill="1" applyBorder="1" applyAlignment="1" applyProtection="1">
      <alignment vertical="center" wrapText="1"/>
    </xf>
    <xf numFmtId="0" fontId="4" fillId="6" borderId="1" xfId="0" applyNumberFormat="1" applyFont="1" applyFill="1" applyBorder="1" applyAlignment="1" applyProtection="1">
      <alignment horizontal="center" vertical="center" wrapText="1"/>
    </xf>
    <xf numFmtId="0" fontId="3" fillId="6" borderId="1" xfId="0" applyNumberFormat="1" applyFont="1" applyFill="1" applyBorder="1" applyAlignment="1" applyProtection="1">
      <alignment vertical="center" wrapText="1"/>
    </xf>
    <xf numFmtId="0" fontId="0" fillId="6" borderId="1" xfId="0" applyNumberFormat="1" applyFill="1" applyBorder="1" applyAlignment="1" applyProtection="1">
      <alignment horizontal="center" vertical="center" wrapText="1"/>
    </xf>
    <xf numFmtId="164" fontId="3" fillId="6" borderId="1" xfId="0" applyNumberFormat="1" applyFont="1" applyFill="1" applyBorder="1" applyAlignment="1" applyProtection="1">
      <alignment horizontal="center" vertical="center" wrapText="1"/>
    </xf>
    <xf numFmtId="166" fontId="3" fillId="6" borderId="1" xfId="0" applyNumberFormat="1" applyFont="1" applyFill="1" applyBorder="1" applyAlignment="1" applyProtection="1">
      <alignment horizontal="center" vertical="center" wrapText="1"/>
    </xf>
    <xf numFmtId="166" fontId="0" fillId="6" borderId="1" xfId="0" applyNumberFormat="1" applyFill="1" applyBorder="1" applyAlignment="1" applyProtection="1">
      <alignment horizontal="center" vertical="center" wrapText="1"/>
    </xf>
    <xf numFmtId="166" fontId="0" fillId="6" borderId="1" xfId="0" applyNumberFormat="1" applyFill="1" applyBorder="1" applyAlignment="1" applyProtection="1">
      <alignment horizontal="center"/>
    </xf>
    <xf numFmtId="0" fontId="3" fillId="13" borderId="0" xfId="0" applyNumberFormat="1" applyFont="1" applyFill="1" applyAlignment="1" applyProtection="1"/>
    <xf numFmtId="0" fontId="2" fillId="3" borderId="8" xfId="0" applyNumberFormat="1" applyFont="1" applyFill="1" applyBorder="1" applyAlignment="1" applyProtection="1">
      <alignment horizontal="center" vertical="center" wrapText="1"/>
    </xf>
    <xf numFmtId="0" fontId="2" fillId="3" borderId="5" xfId="0" applyNumberFormat="1" applyFont="1" applyFill="1" applyBorder="1" applyAlignment="1" applyProtection="1">
      <alignment horizontal="center" vertical="center" wrapText="1"/>
    </xf>
    <xf numFmtId="164" fontId="2" fillId="3" borderId="5" xfId="0" applyNumberFormat="1" applyFont="1" applyFill="1" applyBorder="1" applyAlignment="1" applyProtection="1">
      <alignment horizontal="center" vertical="center" wrapText="1"/>
    </xf>
    <xf numFmtId="166" fontId="2" fillId="3" borderId="5" xfId="0" applyNumberFormat="1" applyFont="1" applyFill="1" applyBorder="1" applyAlignment="1" applyProtection="1">
      <alignment horizontal="center" vertical="center" wrapText="1"/>
    </xf>
    <xf numFmtId="164" fontId="2" fillId="3" borderId="7" xfId="0" applyNumberFormat="1" applyFont="1" applyFill="1" applyBorder="1" applyAlignment="1" applyProtection="1">
      <alignment horizontal="center" vertical="center" wrapText="1"/>
    </xf>
    <xf numFmtId="164" fontId="2" fillId="4" borderId="1" xfId="0" applyNumberFormat="1" applyFont="1" applyFill="1" applyBorder="1" applyAlignment="1" applyProtection="1">
      <alignment horizontal="center" vertical="center" wrapText="1"/>
    </xf>
    <xf numFmtId="0" fontId="0" fillId="13" borderId="0" xfId="0" applyNumberFormat="1" applyFill="1" applyAlignment="1" applyProtection="1"/>
    <xf numFmtId="0" fontId="0" fillId="6" borderId="1" xfId="0" applyNumberFormat="1" applyFill="1" applyBorder="1" applyAlignment="1" applyProtection="1">
      <alignment horizontal="center" vertical="center"/>
    </xf>
    <xf numFmtId="164" fontId="0" fillId="6" borderId="1" xfId="0" applyNumberFormat="1" applyFill="1" applyBorder="1" applyAlignment="1" applyProtection="1">
      <alignment horizontal="center" vertical="center" wrapText="1"/>
    </xf>
    <xf numFmtId="164" fontId="0" fillId="6" borderId="4" xfId="0" applyNumberFormat="1" applyFill="1" applyBorder="1" applyAlignment="1" applyProtection="1">
      <alignment horizontal="center" vertical="center" wrapText="1"/>
    </xf>
    <xf numFmtId="0" fontId="0" fillId="6" borderId="4" xfId="0" applyNumberFormat="1" applyFill="1" applyBorder="1" applyAlignment="1" applyProtection="1"/>
    <xf numFmtId="164" fontId="3" fillId="6" borderId="1" xfId="0" applyNumberFormat="1" applyFont="1" applyFill="1" applyBorder="1" applyAlignment="1" applyProtection="1">
      <alignment horizontal="center" vertical="center"/>
    </xf>
    <xf numFmtId="166" fontId="0" fillId="6" borderId="1" xfId="0" applyNumberFormat="1" applyFill="1" applyBorder="1" applyAlignment="1" applyProtection="1">
      <alignment horizontal="center" vertical="center"/>
    </xf>
    <xf numFmtId="0" fontId="0" fillId="2" borderId="2" xfId="0" applyNumberForma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horizontal="center"/>
    </xf>
    <xf numFmtId="0" fontId="4" fillId="6" borderId="1" xfId="0" applyNumberFormat="1" applyFont="1" applyFill="1" applyBorder="1" applyAlignment="1" applyProtection="1">
      <alignment horizontal="center"/>
    </xf>
    <xf numFmtId="0" fontId="3" fillId="14" borderId="1" xfId="0" applyNumberFormat="1" applyFont="1" applyFill="1" applyBorder="1" applyAlignment="1" applyProtection="1">
      <alignment horizontal="center" vertical="center" wrapText="1"/>
    </xf>
    <xf numFmtId="164" fontId="3" fillId="6" borderId="1" xfId="0" applyNumberFormat="1" applyFont="1" applyFill="1" applyBorder="1" applyAlignment="1" applyProtection="1">
      <alignment horizontal="center"/>
    </xf>
    <xf numFmtId="166" fontId="3" fillId="6" borderId="1" xfId="0" applyNumberFormat="1" applyFont="1" applyFill="1" applyBorder="1" applyAlignment="1" applyProtection="1">
      <alignment horizontal="center"/>
    </xf>
    <xf numFmtId="0" fontId="30" fillId="6" borderId="1" xfId="0" applyNumberFormat="1" applyFont="1" applyFill="1" applyBorder="1" applyAlignment="1" applyProtection="1">
      <alignment horizontal="center" vertical="center" wrapText="1"/>
    </xf>
    <xf numFmtId="0" fontId="6" fillId="6" borderId="1" xfId="0" applyNumberFormat="1" applyFont="1" applyFill="1" applyBorder="1" applyAlignment="1" applyProtection="1">
      <alignment horizontal="center"/>
    </xf>
    <xf numFmtId="0" fontId="14" fillId="7" borderId="1" xfId="0" applyNumberFormat="1" applyFont="1" applyFill="1" applyBorder="1" applyAlignment="1" applyProtection="1"/>
    <xf numFmtId="164" fontId="0" fillId="6" borderId="1" xfId="0" applyNumberFormat="1" applyFill="1" applyBorder="1" applyAlignment="1" applyProtection="1"/>
    <xf numFmtId="0" fontId="0" fillId="6" borderId="0" xfId="0" applyNumberFormat="1" applyFill="1" applyAlignment="1" applyProtection="1"/>
    <xf numFmtId="0" fontId="3" fillId="6" borderId="3" xfId="0" applyNumberFormat="1" applyFont="1" applyFill="1" applyBorder="1" applyAlignment="1" applyProtection="1">
      <alignment horizontal="center"/>
    </xf>
    <xf numFmtId="0" fontId="0" fillId="7" borderId="1" xfId="0" applyNumberFormat="1" applyFill="1" applyBorder="1" applyAlignment="1" applyProtection="1">
      <alignment horizontal="center" vertical="center"/>
    </xf>
    <xf numFmtId="165" fontId="0" fillId="7" borderId="1" xfId="0" applyNumberFormat="1" applyFill="1" applyBorder="1" applyAlignment="1" applyProtection="1">
      <alignment horizontal="center" vertical="center" wrapText="1"/>
    </xf>
    <xf numFmtId="0" fontId="0" fillId="7" borderId="1" xfId="0" applyNumberFormat="1" applyFill="1" applyBorder="1" applyAlignment="1" applyProtection="1">
      <alignment horizontal="center"/>
    </xf>
    <xf numFmtId="0" fontId="0" fillId="7" borderId="1" xfId="0" applyNumberFormat="1" applyFill="1" applyBorder="1" applyAlignment="1" applyProtection="1">
      <alignment horizontal="center" vertical="center" wrapText="1"/>
    </xf>
    <xf numFmtId="0" fontId="0" fillId="7" borderId="1" xfId="0" applyNumberFormat="1" applyFill="1" applyBorder="1" applyAlignment="1" applyProtection="1">
      <alignment vertical="center"/>
    </xf>
    <xf numFmtId="164" fontId="0" fillId="7" borderId="1" xfId="0" applyNumberFormat="1" applyFill="1" applyBorder="1" applyAlignment="1" applyProtection="1"/>
    <xf numFmtId="166" fontId="0" fillId="7" borderId="1" xfId="0" applyNumberFormat="1" applyFill="1" applyBorder="1" applyAlignment="1" applyProtection="1"/>
    <xf numFmtId="164" fontId="0" fillId="7" borderId="1" xfId="0" applyNumberFormat="1" applyFill="1" applyBorder="1" applyAlignment="1" applyProtection="1">
      <alignment horizontal="center"/>
    </xf>
    <xf numFmtId="166" fontId="0" fillId="7" borderId="1" xfId="0" applyNumberFormat="1" applyFill="1" applyBorder="1" applyAlignment="1" applyProtection="1">
      <alignment horizontal="center"/>
    </xf>
    <xf numFmtId="0" fontId="8" fillId="6" borderId="1" xfId="0" applyNumberFormat="1" applyFont="1" applyFill="1" applyBorder="1" applyAlignment="1" applyProtection="1">
      <alignment horizontal="center" vertical="center"/>
    </xf>
    <xf numFmtId="0" fontId="8" fillId="6" borderId="1" xfId="0" applyNumberFormat="1" applyFont="1" applyFill="1" applyBorder="1" applyAlignment="1" applyProtection="1">
      <alignment horizontal="center" vertical="center" wrapText="1"/>
    </xf>
    <xf numFmtId="0" fontId="9" fillId="6" borderId="1" xfId="0" applyNumberFormat="1" applyFont="1" applyFill="1" applyBorder="1" applyAlignment="1" applyProtection="1">
      <alignment horizontal="center" vertical="center" wrapText="1"/>
    </xf>
    <xf numFmtId="164" fontId="8" fillId="6" borderId="1" xfId="0" applyNumberFormat="1" applyFont="1" applyFill="1" applyBorder="1" applyAlignment="1" applyProtection="1">
      <alignment horizontal="center" vertical="center" wrapText="1"/>
    </xf>
    <xf numFmtId="166" fontId="8" fillId="6" borderId="1" xfId="0" applyNumberFormat="1" applyFont="1" applyFill="1" applyBorder="1" applyAlignment="1" applyProtection="1">
      <alignment horizontal="center" vertical="center" wrapText="1"/>
    </xf>
    <xf numFmtId="164" fontId="8" fillId="6" borderId="4" xfId="0" applyNumberFormat="1" applyFont="1" applyFill="1" applyBorder="1" applyAlignment="1" applyProtection="1">
      <alignment horizontal="center" vertical="center" wrapText="1"/>
    </xf>
    <xf numFmtId="0" fontId="8" fillId="2" borderId="1" xfId="0" applyNumberFormat="1" applyFont="1" applyFill="1" applyBorder="1" applyAlignment="1" applyProtection="1">
      <alignment horizontal="center" vertical="center"/>
    </xf>
    <xf numFmtId="164" fontId="8" fillId="6" borderId="7" xfId="0" applyNumberFormat="1" applyFont="1" applyFill="1" applyBorder="1" applyAlignment="1" applyProtection="1">
      <alignment horizontal="center" vertical="center" wrapText="1"/>
    </xf>
    <xf numFmtId="0" fontId="9" fillId="6" borderId="1" xfId="0" applyNumberFormat="1" applyFont="1" applyFill="1" applyBorder="1" applyAlignment="1" applyProtection="1">
      <alignment horizontal="center"/>
    </xf>
    <xf numFmtId="0" fontId="7" fillId="6" borderId="1" xfId="0" applyNumberFormat="1" applyFont="1" applyFill="1" applyBorder="1" applyAlignment="1" applyProtection="1">
      <alignment horizontal="center"/>
    </xf>
    <xf numFmtId="164" fontId="8" fillId="6" borderId="1" xfId="0" applyNumberFormat="1" applyFont="1" applyFill="1" applyBorder="1" applyAlignment="1" applyProtection="1"/>
    <xf numFmtId="166" fontId="8" fillId="6" borderId="1" xfId="0" applyNumberFormat="1" applyFont="1" applyFill="1" applyBorder="1" applyAlignment="1" applyProtection="1">
      <alignment vertical="center" wrapText="1"/>
    </xf>
    <xf numFmtId="0" fontId="8" fillId="6" borderId="2" xfId="0" applyNumberFormat="1" applyFont="1" applyFill="1" applyBorder="1" applyAlignment="1" applyProtection="1">
      <alignment horizontal="center" vertical="center"/>
    </xf>
    <xf numFmtId="0" fontId="8" fillId="6" borderId="1" xfId="0" applyNumberFormat="1" applyFont="1" applyFill="1" applyBorder="1" applyAlignment="1" applyProtection="1">
      <alignment vertical="center" wrapText="1"/>
    </xf>
    <xf numFmtId="166" fontId="0" fillId="6" borderId="1" xfId="0" applyNumberFormat="1" applyFill="1" applyBorder="1" applyAlignment="1" applyProtection="1">
      <alignment vertical="center" wrapText="1"/>
    </xf>
    <xf numFmtId="164" fontId="0" fillId="6" borderId="1" xfId="0" applyNumberFormat="1" applyFill="1" applyBorder="1" applyAlignment="1" applyProtection="1">
      <alignment vertical="center" wrapText="1"/>
    </xf>
    <xf numFmtId="0" fontId="8" fillId="2" borderId="1" xfId="0" applyNumberFormat="1" applyFont="1" applyFill="1" applyBorder="1" applyAlignment="1" applyProtection="1">
      <alignment horizontal="center" vertical="center" wrapText="1"/>
    </xf>
    <xf numFmtId="0" fontId="7" fillId="6" borderId="1" xfId="0" applyNumberFormat="1" applyFont="1" applyFill="1" applyBorder="1" applyAlignment="1" applyProtection="1">
      <alignment horizontal="center" vertical="center" wrapText="1"/>
    </xf>
    <xf numFmtId="0" fontId="5" fillId="2" borderId="1" xfId="0" applyNumberFormat="1" applyFont="1" applyFill="1" applyBorder="1" applyAlignment="1" applyProtection="1">
      <alignment horizontal="center" vertical="center" wrapText="1"/>
    </xf>
    <xf numFmtId="0" fontId="8" fillId="6" borderId="1" xfId="0" applyNumberFormat="1" applyFont="1" applyFill="1" applyBorder="1" applyAlignment="1" applyProtection="1">
      <alignment horizontal="left" vertical="center"/>
    </xf>
    <xf numFmtId="164" fontId="5" fillId="6" borderId="1" xfId="0" applyNumberFormat="1" applyFont="1" applyFill="1" applyBorder="1" applyAlignment="1" applyProtection="1">
      <alignment horizontal="center" vertical="center" wrapText="1"/>
    </xf>
    <xf numFmtId="0" fontId="8" fillId="17" borderId="1" xfId="0" applyNumberFormat="1" applyFont="1" applyFill="1" applyBorder="1" applyAlignment="1" applyProtection="1">
      <alignment horizontal="center" vertical="center" wrapText="1"/>
    </xf>
    <xf numFmtId="0" fontId="5" fillId="17" borderId="1" xfId="0" applyNumberFormat="1" applyFont="1" applyFill="1" applyBorder="1" applyAlignment="1" applyProtection="1">
      <alignment horizontal="center" vertical="center" wrapText="1"/>
    </xf>
    <xf numFmtId="0" fontId="5" fillId="17" borderId="1" xfId="0" applyNumberFormat="1" applyFont="1" applyFill="1" applyBorder="1" applyAlignment="1" applyProtection="1">
      <alignment vertical="center" wrapText="1"/>
    </xf>
    <xf numFmtId="164" fontId="0" fillId="17" borderId="1" xfId="0" applyNumberFormat="1" applyFill="1" applyBorder="1" applyAlignment="1" applyProtection="1">
      <alignment horizontal="center" vertical="center" wrapText="1"/>
    </xf>
    <xf numFmtId="166" fontId="5" fillId="6" borderId="1" xfId="0" applyNumberFormat="1" applyFont="1" applyFill="1" applyBorder="1" applyAlignment="1" applyProtection="1">
      <alignment horizontal="center" vertical="center" wrapText="1"/>
    </xf>
    <xf numFmtId="0" fontId="5" fillId="2" borderId="1" xfId="0" applyNumberFormat="1" applyFont="1" applyFill="1" applyBorder="1" applyAlignment="1" applyProtection="1">
      <alignment vertical="center" wrapText="1"/>
    </xf>
    <xf numFmtId="0" fontId="0" fillId="7" borderId="0" xfId="0" applyNumberFormat="1" applyFill="1" applyAlignment="1" applyProtection="1">
      <alignment horizontal="center"/>
    </xf>
    <xf numFmtId="164" fontId="0" fillId="7" borderId="0" xfId="0" applyNumberFormat="1" applyFill="1" applyAlignment="1" applyProtection="1"/>
    <xf numFmtId="166" fontId="0" fillId="7" borderId="0" xfId="0" applyNumberFormat="1" applyFill="1" applyAlignment="1" applyProtection="1"/>
    <xf numFmtId="164" fontId="0" fillId="7" borderId="0" xfId="0" applyNumberFormat="1" applyFill="1" applyAlignment="1" applyProtection="1">
      <alignment horizontal="center"/>
    </xf>
    <xf numFmtId="166" fontId="0" fillId="7" borderId="0" xfId="0" applyNumberFormat="1" applyFill="1" applyAlignment="1" applyProtection="1">
      <alignment horizontal="center"/>
    </xf>
    <xf numFmtId="0" fontId="3" fillId="6" borderId="2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wrapText="1"/>
    </xf>
    <xf numFmtId="0" fontId="13" fillId="6" borderId="1" xfId="0" applyNumberFormat="1" applyFont="1" applyFill="1" applyBorder="1" applyAlignment="1" applyProtection="1">
      <alignment vertical="center" wrapText="1"/>
    </xf>
    <xf numFmtId="166" fontId="0" fillId="0" borderId="0" xfId="0" applyNumberFormat="1" applyFill="1" applyAlignment="1" applyProtection="1"/>
    <xf numFmtId="164" fontId="0" fillId="0" borderId="0" xfId="0" applyNumberFormat="1" applyFill="1" applyAlignment="1" applyProtection="1">
      <alignment horizontal="center"/>
    </xf>
    <xf numFmtId="166" fontId="0" fillId="0" borderId="0" xfId="0" applyNumberFormat="1" applyFill="1" applyAlignment="1" applyProtection="1">
      <alignment horizontal="center"/>
    </xf>
    <xf numFmtId="0" fontId="3" fillId="6" borderId="0" xfId="0" applyNumberFormat="1" applyFont="1" applyFill="1" applyAlignment="1" applyProtection="1"/>
    <xf numFmtId="0" fontId="0" fillId="7" borderId="0" xfId="0" applyNumberFormat="1" applyFill="1" applyAlignment="1" applyProtection="1"/>
    <xf numFmtId="166" fontId="3" fillId="6" borderId="1" xfId="0" quotePrefix="1" applyNumberFormat="1" applyFont="1" applyFill="1" applyBorder="1" applyAlignment="1" applyProtection="1">
      <alignment horizontal="center"/>
    </xf>
    <xf numFmtId="0" fontId="12" fillId="17" borderId="0" xfId="0" applyNumberFormat="1" applyFont="1" applyFill="1" applyAlignment="1" applyProtection="1"/>
    <xf numFmtId="0" fontId="31" fillId="6" borderId="1" xfId="0" applyNumberFormat="1" applyFont="1" applyFill="1" applyBorder="1" applyAlignment="1" applyProtection="1">
      <alignment horizontal="center" vertical="center"/>
    </xf>
    <xf numFmtId="164" fontId="31" fillId="6" borderId="1" xfId="0" applyNumberFormat="1" applyFont="1" applyFill="1" applyBorder="1" applyAlignment="1" applyProtection="1">
      <alignment horizontal="center" vertical="center" wrapText="1"/>
    </xf>
    <xf numFmtId="166" fontId="31" fillId="6" borderId="1" xfId="0" applyNumberFormat="1" applyFont="1" applyFill="1" applyBorder="1" applyAlignment="1" applyProtection="1">
      <alignment horizontal="center" vertical="center" wrapText="1"/>
    </xf>
    <xf numFmtId="164" fontId="31" fillId="6" borderId="4" xfId="0" applyNumberFormat="1" applyFont="1" applyFill="1" applyBorder="1" applyAlignment="1" applyProtection="1">
      <alignment horizontal="center" vertical="center" wrapText="1"/>
    </xf>
    <xf numFmtId="0" fontId="0" fillId="17" borderId="0" xfId="0" applyNumberFormat="1" applyFill="1" applyAlignment="1" applyProtection="1">
      <alignment horizontal="center"/>
    </xf>
    <xf numFmtId="164" fontId="0" fillId="17" borderId="0" xfId="0" applyNumberFormat="1" applyFill="1" applyAlignment="1" applyProtection="1"/>
    <xf numFmtId="166" fontId="0" fillId="17" borderId="0" xfId="0" applyNumberFormat="1" applyFill="1" applyAlignment="1" applyProtection="1"/>
    <xf numFmtId="164" fontId="0" fillId="17" borderId="0" xfId="0" applyNumberFormat="1" applyFill="1" applyAlignment="1" applyProtection="1">
      <alignment horizontal="center"/>
    </xf>
    <xf numFmtId="166" fontId="0" fillId="17" borderId="0" xfId="0" applyNumberFormat="1" applyFill="1" applyAlignment="1" applyProtection="1">
      <alignment horizontal="center"/>
    </xf>
    <xf numFmtId="0" fontId="15" fillId="11" borderId="3" xfId="0" applyNumberFormat="1" applyFont="1" applyFill="1" applyBorder="1" applyAlignment="1" applyProtection="1">
      <alignment horizontal="center" vertical="center" wrapText="1"/>
    </xf>
    <xf numFmtId="0" fontId="15" fillId="10" borderId="3" xfId="0" applyNumberFormat="1" applyFont="1" applyFill="1" applyBorder="1" applyAlignment="1" applyProtection="1">
      <alignment horizontal="center" vertical="center" wrapText="1"/>
    </xf>
    <xf numFmtId="0" fontId="16" fillId="10" borderId="3" xfId="0" applyNumberFormat="1" applyFont="1" applyFill="1" applyBorder="1" applyAlignment="1" applyProtection="1">
      <alignment horizontal="center" vertical="center" wrapText="1"/>
    </xf>
    <xf numFmtId="0" fontId="17" fillId="10" borderId="3" xfId="0" applyNumberFormat="1" applyFont="1" applyFill="1" applyBorder="1" applyAlignment="1" applyProtection="1">
      <alignment horizontal="center" vertical="center" wrapText="1"/>
    </xf>
    <xf numFmtId="0" fontId="16" fillId="10" borderId="3" xfId="0" applyNumberFormat="1" applyFont="1" applyFill="1" applyBorder="1" applyAlignment="1" applyProtection="1">
      <alignment horizontal="center" vertical="center"/>
    </xf>
    <xf numFmtId="164" fontId="16" fillId="10" borderId="3" xfId="0" applyNumberFormat="1" applyFont="1" applyFill="1" applyBorder="1" applyAlignment="1" applyProtection="1">
      <alignment horizontal="center" vertical="center" wrapText="1"/>
    </xf>
    <xf numFmtId="0" fontId="16" fillId="10" borderId="3" xfId="0" applyNumberFormat="1" applyFont="1" applyFill="1" applyBorder="1" applyAlignment="1" applyProtection="1"/>
    <xf numFmtId="164" fontId="16" fillId="11" borderId="3" xfId="0" applyNumberFormat="1" applyFont="1" applyFill="1" applyBorder="1" applyAlignment="1" applyProtection="1">
      <alignment horizontal="center" vertical="center" wrapText="1"/>
    </xf>
    <xf numFmtId="0" fontId="6" fillId="11" borderId="1" xfId="0" applyNumberFormat="1" applyFont="1" applyFill="1" applyBorder="1" applyAlignment="1" applyProtection="1">
      <alignment horizontal="center" vertical="center" wrapText="1"/>
    </xf>
    <xf numFmtId="0" fontId="6" fillId="10" borderId="1" xfId="0" applyNumberFormat="1" applyFont="1" applyFill="1" applyBorder="1" applyAlignment="1" applyProtection="1">
      <alignment horizontal="center" vertical="center" wrapText="1"/>
    </xf>
    <xf numFmtId="0" fontId="3" fillId="10" borderId="1" xfId="0" applyNumberFormat="1" applyFont="1" applyFill="1" applyBorder="1" applyAlignment="1" applyProtection="1">
      <alignment horizontal="center" vertical="center" wrapText="1"/>
    </xf>
    <xf numFmtId="0" fontId="4" fillId="10" borderId="1" xfId="0" applyNumberFormat="1" applyFont="1" applyFill="1" applyBorder="1" applyAlignment="1" applyProtection="1">
      <alignment horizontal="center" vertical="center" wrapText="1"/>
    </xf>
    <xf numFmtId="0" fontId="3" fillId="10" borderId="1" xfId="0" applyNumberFormat="1" applyFont="1" applyFill="1" applyBorder="1" applyAlignment="1" applyProtection="1">
      <alignment horizontal="center" vertical="center"/>
    </xf>
    <xf numFmtId="164" fontId="3" fillId="10" borderId="1" xfId="0" applyNumberFormat="1" applyFont="1" applyFill="1" applyBorder="1" applyAlignment="1" applyProtection="1">
      <alignment horizontal="center" vertical="center" wrapText="1"/>
    </xf>
    <xf numFmtId="0" fontId="3" fillId="10" borderId="1" xfId="0" applyNumberFormat="1" applyFont="1" applyFill="1" applyBorder="1" applyAlignment="1" applyProtection="1"/>
    <xf numFmtId="0" fontId="32" fillId="10" borderId="1" xfId="0" applyNumberFormat="1" applyFont="1" applyFill="1" applyBorder="1" applyAlignment="1" applyProtection="1"/>
    <xf numFmtId="164" fontId="3" fillId="15" borderId="1" xfId="0" quotePrefix="1" applyNumberFormat="1" applyFont="1" applyFill="1" applyBorder="1" applyAlignment="1" applyProtection="1">
      <alignment horizontal="center" vertical="center" wrapText="1"/>
    </xf>
    <xf numFmtId="164" fontId="3" fillId="15" borderId="3" xfId="0" quotePrefix="1" applyNumberFormat="1" applyFont="1" applyFill="1" applyBorder="1" applyAlignment="1" applyProtection="1">
      <alignment horizontal="center" vertical="center" wrapText="1"/>
    </xf>
    <xf numFmtId="0" fontId="0" fillId="6" borderId="1" xfId="0" applyNumberFormat="1" applyFont="1" applyFill="1" applyBorder="1" applyAlignment="1">
      <alignment horizontal="center" vertical="center" wrapText="1"/>
    </xf>
    <xf numFmtId="0" fontId="6" fillId="6" borderId="1" xfId="0" applyNumberFormat="1" applyFont="1" applyFill="1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e2" displayName="Table2" ref="A1:X91" totalsRowShown="0">
  <autoFilter ref="A1:X91"/>
  <tableColumns count="24">
    <tableColumn id="1" name="SL NO"/>
    <tableColumn id="2" name="PLANT"/>
    <tableColumn id="3" name="Code"/>
    <tableColumn id="4" name="Customer"/>
    <tableColumn id="5" name="Description"/>
    <tableColumn id="6" name="W(gm)"/>
    <tableColumn id="7" name="Set type"/>
    <tableColumn id="8" name="process"/>
    <tableColumn id="9" name="Current Status"/>
    <tableColumn id="10" name="Supplier"/>
    <tableColumn id="11" name="SITUATION"/>
    <tableColumn id="12" name="Requesting Date"/>
    <tableColumn id="13" name="Drawing sent to customer "/>
    <tableColumn id="14" name="Customer approval date"/>
    <tableColumn id="15" name="PR Date"/>
    <tableColumn id="16" name="RFQ Date"/>
    <tableColumn id="17" name="ORDER NO."/>
    <tableColumn id="18" name="Order Date"/>
    <tableColumn id="19" name="Tech.Approval for Manufac."/>
    <tableColumn id="20" name="Shipment date expected"/>
    <tableColumn id="21" name="EXCEPTED IN WAREHOUSE"/>
    <tableColumn id="22" name="RECVD AT WAREHOUSE"/>
    <tableColumn id="23" name="TRIAL DATE"/>
    <tableColumn id="24" name="Column2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" displayName="Table1" ref="A1:W28" totalsRowShown="0">
  <autoFilter ref="A1:W28"/>
  <tableColumns count="23">
    <tableColumn id="1" name="SL NO"/>
    <tableColumn id="2" name="PLANT"/>
    <tableColumn id="3" name="Code"/>
    <tableColumn id="4" name="Customer"/>
    <tableColumn id="5" name="Description"/>
    <tableColumn id="6" name="W(gm)"/>
    <tableColumn id="7" name="Set type"/>
    <tableColumn id="8" name="process"/>
    <tableColumn id="9" name="Current Status"/>
    <tableColumn id="10" name="Supplier"/>
    <tableColumn id="11" name="SITUATION"/>
    <tableColumn id="12" name="Requesting Date"/>
    <tableColumn id="13" name="Drawing sent to customer "/>
    <tableColumn id="14" name="Customer approval date"/>
    <tableColumn id="15" name="PR Date"/>
    <tableColumn id="16" name="RFQ Date"/>
    <tableColumn id="17" name="ORDER NO."/>
    <tableColumn id="18" name="Order Date"/>
    <tableColumn id="19" name="Tech.Approval for Manufac."/>
    <tableColumn id="20" name="Shipment date expected"/>
    <tableColumn id="21" name="EXCEPTED IN WAREHOUSE"/>
    <tableColumn id="22" name="RECVD AT WAREHOUSE"/>
    <tableColumn id="23" name="TRIAL DA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85296"/>
      </a:hlink>
      <a:folHlink>
        <a:srgbClr val="993366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C92"/>
  <sheetViews>
    <sheetView showGridLines="0" zoomScale="85" zoomScaleNormal="85" workbookViewId="0">
      <pane xSplit="5" ySplit="1" topLeftCell="F2" activePane="bottomRight" state="frozenSplit"/>
      <selection activeCell="A3" sqref="A3 A3"/>
      <selection pane="topRight"/>
      <selection pane="bottomLeft"/>
      <selection pane="bottomRight" activeCell="E92" sqref="E92"/>
    </sheetView>
  </sheetViews>
  <sheetFormatPr defaultColWidth="9.140625" defaultRowHeight="15" x14ac:dyDescent="0.25"/>
  <cols>
    <col min="1" max="1" width="6.140625" style="19" customWidth="1"/>
    <col min="2" max="2" width="8.42578125" style="19" customWidth="1"/>
    <col min="3" max="3" width="12.140625" style="115" bestFit="1" customWidth="1"/>
    <col min="4" max="4" width="11.85546875" style="19" customWidth="1"/>
    <col min="5" max="5" width="35.140625" style="19" customWidth="1"/>
    <col min="6" max="6" width="8.7109375" style="115" customWidth="1"/>
    <col min="7" max="7" width="10.28515625" style="115" customWidth="1"/>
    <col min="8" max="8" width="8" style="19" customWidth="1"/>
    <col min="9" max="9" width="35.140625" style="19" customWidth="1"/>
    <col min="10" max="10" width="13.28515625" style="115" customWidth="1"/>
    <col min="11" max="11" width="16.5703125" style="115" customWidth="1"/>
    <col min="12" max="12" width="14.7109375" style="116" customWidth="1"/>
    <col min="13" max="13" width="14.42578125" style="116" customWidth="1"/>
    <col min="14" max="14" width="13.28515625" style="116" customWidth="1"/>
    <col min="15" max="15" width="13.140625" style="116" customWidth="1"/>
    <col min="16" max="16" width="11.42578125" style="116" customWidth="1"/>
    <col min="17" max="17" width="13" style="116" customWidth="1"/>
    <col min="18" max="18" width="12.28515625" style="116" customWidth="1"/>
    <col min="19" max="22" width="13.42578125" style="116" customWidth="1"/>
    <col min="23" max="23" width="13.28515625" style="116" customWidth="1"/>
    <col min="24" max="25" width="7.85546875" style="19" customWidth="1"/>
    <col min="26" max="26" width="9.140625" style="19" customWidth="1"/>
    <col min="27" max="27" width="10" style="19" customWidth="1"/>
    <col min="28" max="28" width="9.140625" style="19" customWidth="1"/>
    <col min="29" max="16384" width="9.140625" style="19"/>
  </cols>
  <sheetData>
    <row r="1" spans="1:29" s="117" customFormat="1" ht="27" customHeight="1" x14ac:dyDescent="0.25">
      <c r="A1" s="29" t="s">
        <v>0</v>
      </c>
      <c r="B1" s="30" t="s">
        <v>1</v>
      </c>
      <c r="C1" s="30" t="s">
        <v>2</v>
      </c>
      <c r="D1" s="30" t="s">
        <v>3</v>
      </c>
      <c r="E1" s="30" t="s">
        <v>4</v>
      </c>
      <c r="F1" s="30" t="s">
        <v>5</v>
      </c>
      <c r="G1" s="30" t="s">
        <v>6</v>
      </c>
      <c r="H1" s="30" t="s">
        <v>7</v>
      </c>
      <c r="I1" s="30" t="s">
        <v>8</v>
      </c>
      <c r="J1" s="30" t="s">
        <v>9</v>
      </c>
      <c r="K1" s="30" t="s">
        <v>10</v>
      </c>
      <c r="L1" s="30" t="s">
        <v>11</v>
      </c>
      <c r="M1" s="30" t="s">
        <v>12</v>
      </c>
      <c r="N1" s="30" t="s">
        <v>13</v>
      </c>
      <c r="O1" s="30" t="s">
        <v>14</v>
      </c>
      <c r="P1" s="30" t="s">
        <v>15</v>
      </c>
      <c r="Q1" s="30" t="s">
        <v>16</v>
      </c>
      <c r="R1" s="30" t="s">
        <v>17</v>
      </c>
      <c r="S1" s="30" t="s">
        <v>18</v>
      </c>
      <c r="T1" s="30" t="s">
        <v>19</v>
      </c>
      <c r="U1" s="31" t="s">
        <v>20</v>
      </c>
      <c r="V1" s="31" t="s">
        <v>21</v>
      </c>
      <c r="W1" s="30" t="s">
        <v>22</v>
      </c>
      <c r="X1" s="32" t="s">
        <v>23</v>
      </c>
      <c r="Y1" s="18"/>
      <c r="Z1" s="33" t="s">
        <v>24</v>
      </c>
      <c r="AA1" s="33" t="s">
        <v>25</v>
      </c>
      <c r="AB1" s="33" t="s">
        <v>26</v>
      </c>
      <c r="AC1" s="33" t="s">
        <v>27</v>
      </c>
    </row>
    <row r="2" spans="1:29" s="47" customFormat="1" ht="105" customHeight="1" x14ac:dyDescent="0.25">
      <c r="A2" s="20">
        <v>1</v>
      </c>
      <c r="B2" s="20" t="s">
        <v>257</v>
      </c>
      <c r="C2" s="21">
        <v>1199</v>
      </c>
      <c r="D2" s="21"/>
      <c r="E2" s="22" t="s">
        <v>352</v>
      </c>
      <c r="F2" s="21"/>
      <c r="G2" s="23" t="s">
        <v>28</v>
      </c>
      <c r="H2" s="24" t="s">
        <v>29</v>
      </c>
      <c r="I2" s="22"/>
      <c r="J2" s="21" t="s">
        <v>258</v>
      </c>
      <c r="K2" s="21" t="s">
        <v>30</v>
      </c>
      <c r="L2" s="25"/>
      <c r="M2" s="26"/>
      <c r="N2" s="26">
        <v>42786</v>
      </c>
      <c r="O2" s="26">
        <v>42786</v>
      </c>
      <c r="P2" s="26">
        <v>42788</v>
      </c>
      <c r="Q2" s="26" t="s">
        <v>31</v>
      </c>
      <c r="R2" s="26">
        <v>42795</v>
      </c>
      <c r="S2" s="26" t="s">
        <v>32</v>
      </c>
      <c r="T2" s="26">
        <v>42837</v>
      </c>
      <c r="U2" s="26">
        <v>42847</v>
      </c>
      <c r="V2" s="27"/>
      <c r="W2" s="28"/>
      <c r="Z2" s="34">
        <v>42808</v>
      </c>
    </row>
    <row r="3" spans="1:29" s="47" customFormat="1" ht="75" customHeight="1" x14ac:dyDescent="0.25">
      <c r="A3" s="20">
        <v>2</v>
      </c>
      <c r="B3" s="20" t="s">
        <v>257</v>
      </c>
      <c r="C3" s="21">
        <v>1201</v>
      </c>
      <c r="D3" s="21"/>
      <c r="E3" s="22" t="s">
        <v>353</v>
      </c>
      <c r="F3" s="21"/>
      <c r="G3" s="23" t="s">
        <v>28</v>
      </c>
      <c r="H3" s="24" t="s">
        <v>29</v>
      </c>
      <c r="I3" s="22"/>
      <c r="J3" s="21" t="s">
        <v>258</v>
      </c>
      <c r="K3" s="21" t="s">
        <v>33</v>
      </c>
      <c r="L3" s="25"/>
      <c r="M3" s="26"/>
      <c r="N3" s="26">
        <v>42786</v>
      </c>
      <c r="O3" s="26">
        <v>42786</v>
      </c>
      <c r="P3" s="26">
        <v>42788</v>
      </c>
      <c r="Q3" s="27"/>
      <c r="R3" s="27"/>
      <c r="S3" s="27"/>
      <c r="T3" s="27"/>
      <c r="U3" s="27"/>
      <c r="V3" s="27"/>
      <c r="W3" s="28"/>
    </row>
    <row r="4" spans="1:29" s="47" customFormat="1" ht="105" customHeight="1" x14ac:dyDescent="0.25">
      <c r="A4" s="20">
        <v>3</v>
      </c>
      <c r="B4" s="20" t="s">
        <v>257</v>
      </c>
      <c r="C4" s="21">
        <v>1195</v>
      </c>
      <c r="D4" s="21"/>
      <c r="E4" s="22" t="s">
        <v>354</v>
      </c>
      <c r="F4" s="21"/>
      <c r="G4" s="23" t="s">
        <v>28</v>
      </c>
      <c r="H4" s="24" t="s">
        <v>29</v>
      </c>
      <c r="I4" s="22"/>
      <c r="J4" s="21" t="s">
        <v>258</v>
      </c>
      <c r="K4" s="21" t="s">
        <v>30</v>
      </c>
      <c r="L4" s="25"/>
      <c r="M4" s="26"/>
      <c r="N4" s="26">
        <v>42786</v>
      </c>
      <c r="O4" s="26">
        <v>42786</v>
      </c>
      <c r="P4" s="26">
        <v>42788</v>
      </c>
      <c r="Q4" s="26" t="s">
        <v>34</v>
      </c>
      <c r="R4" s="26">
        <v>42795</v>
      </c>
      <c r="S4" s="26" t="s">
        <v>32</v>
      </c>
      <c r="T4" s="26">
        <v>42837</v>
      </c>
      <c r="U4" s="26">
        <v>42847</v>
      </c>
      <c r="V4" s="27"/>
      <c r="W4" s="28"/>
      <c r="Z4" s="34">
        <v>42808</v>
      </c>
    </row>
    <row r="5" spans="1:29" s="118" customFormat="1" ht="135" customHeight="1" x14ac:dyDescent="0.25">
      <c r="A5" s="35">
        <v>4</v>
      </c>
      <c r="B5" s="36" t="s">
        <v>257</v>
      </c>
      <c r="C5" s="37" t="s">
        <v>35</v>
      </c>
      <c r="D5" s="37"/>
      <c r="E5" s="22" t="s">
        <v>355</v>
      </c>
      <c r="F5" s="37"/>
      <c r="G5" s="39" t="s">
        <v>28</v>
      </c>
      <c r="H5" s="40" t="s">
        <v>29</v>
      </c>
      <c r="I5" s="38"/>
      <c r="J5" s="21" t="s">
        <v>258</v>
      </c>
      <c r="K5" s="41" t="s">
        <v>33</v>
      </c>
      <c r="L5" s="42"/>
      <c r="M5" s="43"/>
      <c r="N5" s="44">
        <v>42750</v>
      </c>
      <c r="O5" s="44">
        <v>42750</v>
      </c>
      <c r="P5" s="28">
        <v>42750</v>
      </c>
      <c r="Q5" s="28" t="s">
        <v>36</v>
      </c>
      <c r="R5" s="28">
        <v>42759</v>
      </c>
      <c r="S5" s="28">
        <v>42807</v>
      </c>
      <c r="T5" s="28">
        <v>42830</v>
      </c>
      <c r="U5" s="28">
        <v>42837</v>
      </c>
      <c r="V5" s="28"/>
      <c r="W5" s="28"/>
    </row>
    <row r="6" spans="1:29" s="118" customFormat="1" ht="91.5" customHeight="1" x14ac:dyDescent="0.25">
      <c r="A6" s="35">
        <v>5</v>
      </c>
      <c r="B6" s="36" t="s">
        <v>257</v>
      </c>
      <c r="C6" s="37" t="s">
        <v>37</v>
      </c>
      <c r="D6" s="37"/>
      <c r="E6" s="22" t="s">
        <v>356</v>
      </c>
      <c r="F6" s="37"/>
      <c r="G6" s="39" t="s">
        <v>28</v>
      </c>
      <c r="H6" s="40" t="s">
        <v>29</v>
      </c>
      <c r="I6" s="38"/>
      <c r="J6" s="21" t="s">
        <v>258</v>
      </c>
      <c r="K6" s="41" t="s">
        <v>30</v>
      </c>
      <c r="L6" s="42"/>
      <c r="M6" s="43"/>
      <c r="N6" s="44">
        <v>42750</v>
      </c>
      <c r="O6" s="44">
        <v>42750</v>
      </c>
      <c r="P6" s="28">
        <v>42750</v>
      </c>
      <c r="Q6" s="28" t="s">
        <v>38</v>
      </c>
      <c r="R6" s="28">
        <v>42759</v>
      </c>
      <c r="S6" s="28">
        <v>42807</v>
      </c>
      <c r="T6" s="28">
        <v>42830</v>
      </c>
      <c r="U6" s="28">
        <v>42837</v>
      </c>
      <c r="V6" s="28"/>
      <c r="W6" s="28"/>
    </row>
    <row r="7" spans="1:29" s="118" customFormat="1" ht="102.75" customHeight="1" x14ac:dyDescent="0.25">
      <c r="A7" s="35">
        <v>6</v>
      </c>
      <c r="B7" s="36" t="s">
        <v>257</v>
      </c>
      <c r="C7" s="37" t="s">
        <v>39</v>
      </c>
      <c r="D7" s="37"/>
      <c r="E7" s="22" t="s">
        <v>357</v>
      </c>
      <c r="F7" s="37"/>
      <c r="G7" s="39" t="s">
        <v>28</v>
      </c>
      <c r="H7" s="40" t="s">
        <v>29</v>
      </c>
      <c r="I7" s="38"/>
      <c r="J7" s="21" t="s">
        <v>258</v>
      </c>
      <c r="K7" s="41" t="s">
        <v>40</v>
      </c>
      <c r="L7" s="42"/>
      <c r="M7" s="43"/>
      <c r="N7" s="44">
        <v>42750</v>
      </c>
      <c r="O7" s="44">
        <v>42750</v>
      </c>
      <c r="P7" s="28">
        <v>42750</v>
      </c>
      <c r="Q7" s="28" t="s">
        <v>41</v>
      </c>
      <c r="R7" s="28">
        <v>42759</v>
      </c>
      <c r="S7" s="28">
        <v>42807</v>
      </c>
      <c r="T7" s="28">
        <v>42830</v>
      </c>
      <c r="U7" s="28">
        <v>42837</v>
      </c>
      <c r="V7" s="28"/>
      <c r="W7" s="28"/>
    </row>
    <row r="8" spans="1:29" s="47" customFormat="1" ht="75" customHeight="1" x14ac:dyDescent="0.25">
      <c r="A8" s="20">
        <v>7</v>
      </c>
      <c r="B8" s="20" t="s">
        <v>257</v>
      </c>
      <c r="C8" s="21">
        <v>1197</v>
      </c>
      <c r="D8" s="21"/>
      <c r="E8" s="22" t="s">
        <v>358</v>
      </c>
      <c r="F8" s="21"/>
      <c r="G8" s="23" t="s">
        <v>28</v>
      </c>
      <c r="H8" s="24" t="s">
        <v>29</v>
      </c>
      <c r="I8" s="22"/>
      <c r="J8" s="21" t="s">
        <v>258</v>
      </c>
      <c r="K8" s="21" t="s">
        <v>33</v>
      </c>
      <c r="L8" s="25"/>
      <c r="M8" s="26"/>
      <c r="N8" s="26">
        <v>42786</v>
      </c>
      <c r="O8" s="26">
        <v>42786</v>
      </c>
      <c r="P8" s="26">
        <v>42788</v>
      </c>
      <c r="Q8" s="27"/>
      <c r="R8" s="27"/>
      <c r="S8" s="27"/>
      <c r="T8" s="27"/>
      <c r="U8" s="27"/>
      <c r="V8" s="27"/>
      <c r="W8" s="28"/>
    </row>
    <row r="9" spans="1:29" s="47" customFormat="1" ht="90" customHeight="1" x14ac:dyDescent="0.25">
      <c r="A9" s="20">
        <v>8</v>
      </c>
      <c r="B9" s="20" t="s">
        <v>257</v>
      </c>
      <c r="C9" s="21">
        <v>1194</v>
      </c>
      <c r="D9" s="21"/>
      <c r="E9" s="22" t="s">
        <v>359</v>
      </c>
      <c r="F9" s="21"/>
      <c r="G9" s="23" t="s">
        <v>28</v>
      </c>
      <c r="H9" s="24" t="s">
        <v>29</v>
      </c>
      <c r="I9" s="22"/>
      <c r="J9" s="21" t="s">
        <v>258</v>
      </c>
      <c r="K9" s="21" t="s">
        <v>30</v>
      </c>
      <c r="L9" s="25"/>
      <c r="M9" s="26"/>
      <c r="N9" s="26">
        <v>42785</v>
      </c>
      <c r="O9" s="26">
        <v>42786</v>
      </c>
      <c r="P9" s="26">
        <v>42788</v>
      </c>
      <c r="Q9" s="26" t="s">
        <v>42</v>
      </c>
      <c r="R9" s="26">
        <v>42806</v>
      </c>
      <c r="S9" s="26">
        <v>42807</v>
      </c>
      <c r="T9" s="26">
        <v>42839</v>
      </c>
      <c r="U9" s="26">
        <v>42849</v>
      </c>
      <c r="V9" s="27"/>
      <c r="W9" s="28"/>
      <c r="Z9" s="34">
        <v>42808</v>
      </c>
    </row>
    <row r="10" spans="1:29" s="118" customFormat="1" ht="30" customHeight="1" x14ac:dyDescent="0.25">
      <c r="A10" s="20">
        <v>9</v>
      </c>
      <c r="B10" s="20" t="s">
        <v>257</v>
      </c>
      <c r="C10" s="21" t="s">
        <v>43</v>
      </c>
      <c r="D10" s="21"/>
      <c r="E10" s="22" t="s">
        <v>360</v>
      </c>
      <c r="F10" s="21"/>
      <c r="G10" s="23" t="s">
        <v>28</v>
      </c>
      <c r="H10" s="24" t="s">
        <v>44</v>
      </c>
      <c r="I10" s="22"/>
      <c r="J10" s="21" t="s">
        <v>258</v>
      </c>
      <c r="K10" s="45" t="s">
        <v>45</v>
      </c>
      <c r="L10" s="25"/>
      <c r="M10" s="46"/>
      <c r="N10" s="26"/>
      <c r="O10" s="26">
        <v>42806</v>
      </c>
      <c r="P10" s="26">
        <v>42807</v>
      </c>
      <c r="Q10" s="26"/>
      <c r="R10" s="26"/>
      <c r="S10" s="27"/>
      <c r="T10" s="27"/>
      <c r="U10" s="27"/>
      <c r="V10" s="27"/>
      <c r="W10" s="28"/>
      <c r="Z10" s="47"/>
      <c r="AA10" s="47"/>
      <c r="AB10" s="47"/>
      <c r="AC10" s="47"/>
    </row>
    <row r="11" spans="1:29" s="118" customFormat="1" ht="30" customHeight="1" x14ac:dyDescent="0.25">
      <c r="A11" s="35">
        <v>10</v>
      </c>
      <c r="B11" s="20" t="s">
        <v>257</v>
      </c>
      <c r="C11" s="21" t="s">
        <v>46</v>
      </c>
      <c r="D11" s="21"/>
      <c r="E11" s="22" t="s">
        <v>361</v>
      </c>
      <c r="F11" s="21"/>
      <c r="G11" s="23" t="s">
        <v>28</v>
      </c>
      <c r="H11" s="24" t="s">
        <v>44</v>
      </c>
      <c r="I11" s="22"/>
      <c r="J11" s="21" t="s">
        <v>258</v>
      </c>
      <c r="K11" s="45" t="s">
        <v>45</v>
      </c>
      <c r="L11" s="25"/>
      <c r="M11" s="46"/>
      <c r="N11" s="26"/>
      <c r="O11" s="26">
        <v>42806</v>
      </c>
      <c r="P11" s="26">
        <v>42807</v>
      </c>
      <c r="Q11" s="26"/>
      <c r="R11" s="26"/>
      <c r="S11" s="27"/>
      <c r="T11" s="27"/>
      <c r="U11" s="27"/>
      <c r="V11" s="27"/>
      <c r="W11" s="28"/>
      <c r="Z11" s="47"/>
      <c r="AA11" s="47"/>
      <c r="AB11" s="47"/>
      <c r="AC11" s="47"/>
    </row>
    <row r="12" spans="1:29" s="118" customFormat="1" ht="30" customHeight="1" x14ac:dyDescent="0.25">
      <c r="A12" s="35">
        <v>11</v>
      </c>
      <c r="B12" s="36" t="s">
        <v>257</v>
      </c>
      <c r="C12" s="37" t="s">
        <v>47</v>
      </c>
      <c r="D12" s="37"/>
      <c r="E12" s="22" t="s">
        <v>362</v>
      </c>
      <c r="F12" s="37"/>
      <c r="G12" s="39" t="s">
        <v>48</v>
      </c>
      <c r="H12" s="40" t="s">
        <v>29</v>
      </c>
      <c r="I12" s="38"/>
      <c r="J12" s="21" t="s">
        <v>258</v>
      </c>
      <c r="K12" s="41" t="s">
        <v>49</v>
      </c>
      <c r="L12" s="48"/>
      <c r="M12" s="43"/>
      <c r="N12" s="44">
        <v>42732</v>
      </c>
      <c r="O12" s="44">
        <v>42737</v>
      </c>
      <c r="P12" s="26">
        <v>42733</v>
      </c>
      <c r="Q12" s="26" t="s">
        <v>50</v>
      </c>
      <c r="R12" s="26">
        <v>42739</v>
      </c>
      <c r="S12" s="28">
        <v>42743</v>
      </c>
      <c r="T12" s="28">
        <v>42803</v>
      </c>
      <c r="U12" s="28">
        <v>42814</v>
      </c>
      <c r="V12" s="28">
        <v>42809</v>
      </c>
      <c r="W12" s="26"/>
      <c r="Z12" s="26"/>
      <c r="AA12" s="26"/>
      <c r="AB12" s="26"/>
      <c r="AC12" s="26"/>
    </row>
    <row r="13" spans="1:29" s="118" customFormat="1" ht="30" customHeight="1" x14ac:dyDescent="0.25">
      <c r="A13" s="35">
        <v>12</v>
      </c>
      <c r="B13" s="36" t="s">
        <v>257</v>
      </c>
      <c r="C13" s="37" t="s">
        <v>51</v>
      </c>
      <c r="D13" s="37"/>
      <c r="E13" s="22" t="s">
        <v>363</v>
      </c>
      <c r="F13" s="37"/>
      <c r="G13" s="39" t="s">
        <v>48</v>
      </c>
      <c r="H13" s="40" t="s">
        <v>29</v>
      </c>
      <c r="I13" s="38"/>
      <c r="J13" s="21" t="s">
        <v>258</v>
      </c>
      <c r="K13" s="41" t="s">
        <v>49</v>
      </c>
      <c r="L13" s="48"/>
      <c r="M13" s="43"/>
      <c r="N13" s="44">
        <v>42733</v>
      </c>
      <c r="O13" s="44">
        <v>42737</v>
      </c>
      <c r="P13" s="26">
        <v>42733</v>
      </c>
      <c r="Q13" s="26" t="s">
        <v>52</v>
      </c>
      <c r="R13" s="26">
        <v>42739</v>
      </c>
      <c r="S13" s="28">
        <v>42747</v>
      </c>
      <c r="T13" s="28">
        <v>42803</v>
      </c>
      <c r="U13" s="28">
        <v>42814</v>
      </c>
      <c r="V13" s="28">
        <v>42809</v>
      </c>
      <c r="W13" s="28"/>
      <c r="Z13" s="26"/>
      <c r="AA13" s="26"/>
      <c r="AB13" s="26"/>
      <c r="AC13" s="26"/>
    </row>
    <row r="14" spans="1:29" s="118" customFormat="1" ht="30" customHeight="1" x14ac:dyDescent="0.25">
      <c r="A14" s="20">
        <v>13</v>
      </c>
      <c r="B14" s="36" t="s">
        <v>257</v>
      </c>
      <c r="C14" s="37" t="s">
        <v>53</v>
      </c>
      <c r="D14" s="37"/>
      <c r="E14" s="22" t="s">
        <v>364</v>
      </c>
      <c r="F14" s="37"/>
      <c r="G14" s="39" t="s">
        <v>48</v>
      </c>
      <c r="H14" s="40" t="s">
        <v>29</v>
      </c>
      <c r="I14" s="38"/>
      <c r="J14" s="21" t="s">
        <v>258</v>
      </c>
      <c r="K14" s="41" t="s">
        <v>49</v>
      </c>
      <c r="L14" s="48"/>
      <c r="M14" s="43"/>
      <c r="N14" s="44">
        <v>42734</v>
      </c>
      <c r="O14" s="44">
        <v>42737</v>
      </c>
      <c r="P14" s="26">
        <v>42733</v>
      </c>
      <c r="Q14" s="28"/>
      <c r="R14" s="26">
        <v>42739</v>
      </c>
      <c r="S14" s="28">
        <v>42743</v>
      </c>
      <c r="T14" s="28">
        <v>42799</v>
      </c>
      <c r="U14" s="28">
        <v>42809</v>
      </c>
      <c r="V14" s="28">
        <v>42808</v>
      </c>
      <c r="W14" s="28"/>
      <c r="Z14" s="26"/>
      <c r="AA14" s="26"/>
      <c r="AB14" s="26"/>
      <c r="AC14" s="26"/>
    </row>
    <row r="15" spans="1:29" s="118" customFormat="1" ht="60" customHeight="1" x14ac:dyDescent="0.25">
      <c r="A15" s="20">
        <v>14</v>
      </c>
      <c r="B15" s="36" t="s">
        <v>257</v>
      </c>
      <c r="C15" s="37">
        <v>1131</v>
      </c>
      <c r="D15" s="37"/>
      <c r="E15" s="22" t="s">
        <v>365</v>
      </c>
      <c r="F15" s="49"/>
      <c r="G15" s="40" t="s">
        <v>55</v>
      </c>
      <c r="H15" s="40" t="s">
        <v>29</v>
      </c>
      <c r="I15" s="38"/>
      <c r="J15" s="21" t="s">
        <v>258</v>
      </c>
      <c r="K15" s="49" t="s">
        <v>40</v>
      </c>
      <c r="L15" s="44" t="s">
        <v>56</v>
      </c>
      <c r="M15" s="44" t="s">
        <v>56</v>
      </c>
      <c r="N15" s="26">
        <v>42642</v>
      </c>
      <c r="O15" s="26">
        <v>42642</v>
      </c>
      <c r="P15" s="26">
        <v>42653</v>
      </c>
      <c r="Q15" s="26" t="s">
        <v>57</v>
      </c>
      <c r="R15" s="26" t="s">
        <v>58</v>
      </c>
      <c r="S15" s="26" t="s">
        <v>59</v>
      </c>
      <c r="T15" s="26">
        <v>42791</v>
      </c>
      <c r="U15" s="26">
        <v>42809</v>
      </c>
      <c r="V15" s="28"/>
      <c r="W15" s="28"/>
      <c r="Z15" s="26"/>
      <c r="AA15" s="26"/>
      <c r="AB15" s="26" t="s">
        <v>60</v>
      </c>
      <c r="AC15" s="26" t="s">
        <v>61</v>
      </c>
    </row>
    <row r="16" spans="1:29" s="118" customFormat="1" ht="75" customHeight="1" x14ac:dyDescent="0.25">
      <c r="A16" s="20">
        <v>15</v>
      </c>
      <c r="B16" s="36" t="s">
        <v>257</v>
      </c>
      <c r="C16" s="37">
        <v>1016</v>
      </c>
      <c r="D16" s="37"/>
      <c r="E16" s="22" t="s">
        <v>366</v>
      </c>
      <c r="F16" s="49"/>
      <c r="G16" s="40" t="s">
        <v>55</v>
      </c>
      <c r="H16" s="40" t="s">
        <v>29</v>
      </c>
      <c r="I16" s="38"/>
      <c r="J16" s="21" t="s">
        <v>258</v>
      </c>
      <c r="K16" s="49" t="s">
        <v>49</v>
      </c>
      <c r="L16" s="28"/>
      <c r="M16" s="28"/>
      <c r="N16" s="44">
        <v>42675</v>
      </c>
      <c r="O16" s="44">
        <v>42675</v>
      </c>
      <c r="P16" s="44">
        <v>42675</v>
      </c>
      <c r="Q16" s="311" t="s">
        <v>62</v>
      </c>
      <c r="R16" s="26">
        <v>42684</v>
      </c>
      <c r="S16" s="26">
        <v>42689</v>
      </c>
      <c r="T16" s="26">
        <v>42794</v>
      </c>
      <c r="U16" s="26">
        <v>42822</v>
      </c>
      <c r="V16" s="28">
        <v>42822</v>
      </c>
      <c r="W16" s="28"/>
      <c r="Z16" s="26"/>
      <c r="AA16" s="26"/>
      <c r="AB16" s="26" t="s">
        <v>60</v>
      </c>
      <c r="AC16" s="26" t="s">
        <v>63</v>
      </c>
    </row>
    <row r="17" spans="1:29" s="119" customFormat="1" ht="60" customHeight="1" x14ac:dyDescent="0.25">
      <c r="A17" s="20">
        <v>16</v>
      </c>
      <c r="B17" s="36" t="s">
        <v>257</v>
      </c>
      <c r="C17" s="50">
        <v>1070</v>
      </c>
      <c r="D17" s="49"/>
      <c r="E17" s="22" t="s">
        <v>367</v>
      </c>
      <c r="F17" s="49"/>
      <c r="G17" s="40" t="s">
        <v>64</v>
      </c>
      <c r="H17" s="49"/>
      <c r="I17" s="22"/>
      <c r="J17" s="21" t="s">
        <v>258</v>
      </c>
      <c r="K17" s="51" t="s">
        <v>49</v>
      </c>
      <c r="L17" s="44" t="s">
        <v>56</v>
      </c>
      <c r="M17" s="44" t="s">
        <v>56</v>
      </c>
      <c r="N17" s="26">
        <v>42607</v>
      </c>
      <c r="O17" s="26">
        <v>42607</v>
      </c>
      <c r="P17" s="26">
        <v>42609</v>
      </c>
      <c r="Q17" s="311" t="s">
        <v>65</v>
      </c>
      <c r="R17" s="26" t="s">
        <v>66</v>
      </c>
      <c r="S17" s="26">
        <v>41514</v>
      </c>
      <c r="T17" s="26">
        <v>42804</v>
      </c>
      <c r="U17" s="26">
        <v>42824</v>
      </c>
      <c r="V17" s="28">
        <v>42822</v>
      </c>
      <c r="W17" s="28"/>
      <c r="Z17" s="26"/>
      <c r="AA17" s="26"/>
      <c r="AB17" s="26" t="s">
        <v>60</v>
      </c>
      <c r="AC17" s="26" t="s">
        <v>67</v>
      </c>
    </row>
    <row r="18" spans="1:29" s="118" customFormat="1" ht="60" customHeight="1" x14ac:dyDescent="0.25">
      <c r="A18" s="20">
        <v>17</v>
      </c>
      <c r="B18" s="36" t="s">
        <v>257</v>
      </c>
      <c r="C18" s="37">
        <v>1016</v>
      </c>
      <c r="D18" s="49"/>
      <c r="E18" s="22" t="s">
        <v>368</v>
      </c>
      <c r="F18" s="49"/>
      <c r="G18" s="40" t="s">
        <v>55</v>
      </c>
      <c r="H18" s="40" t="s">
        <v>29</v>
      </c>
      <c r="I18" s="38"/>
      <c r="J18" s="21" t="s">
        <v>258</v>
      </c>
      <c r="K18" s="49" t="s">
        <v>30</v>
      </c>
      <c r="L18" s="28"/>
      <c r="M18" s="28"/>
      <c r="N18" s="26">
        <v>42683</v>
      </c>
      <c r="O18" s="26">
        <v>42683</v>
      </c>
      <c r="P18" s="26">
        <v>42684</v>
      </c>
      <c r="Q18" s="26" t="s">
        <v>69</v>
      </c>
      <c r="R18" s="26">
        <v>42694</v>
      </c>
      <c r="S18" s="26">
        <v>42698</v>
      </c>
      <c r="T18" s="26">
        <v>42791</v>
      </c>
      <c r="U18" s="26">
        <v>42799</v>
      </c>
      <c r="V18" s="28"/>
      <c r="W18" s="28"/>
      <c r="Z18" s="26">
        <v>42761</v>
      </c>
      <c r="AA18" s="26"/>
      <c r="AB18" s="26"/>
      <c r="AC18" s="26"/>
    </row>
    <row r="19" spans="1:29" s="118" customFormat="1" ht="60" customHeight="1" x14ac:dyDescent="0.25">
      <c r="A19" s="20">
        <v>18</v>
      </c>
      <c r="B19" s="36" t="s">
        <v>257</v>
      </c>
      <c r="C19" s="37">
        <v>1002</v>
      </c>
      <c r="D19" s="49"/>
      <c r="E19" s="22" t="s">
        <v>369</v>
      </c>
      <c r="F19" s="49"/>
      <c r="G19" s="40" t="s">
        <v>55</v>
      </c>
      <c r="H19" s="40" t="s">
        <v>29</v>
      </c>
      <c r="I19" s="38"/>
      <c r="J19" s="21" t="s">
        <v>258</v>
      </c>
      <c r="K19" s="49" t="s">
        <v>30</v>
      </c>
      <c r="L19" s="28"/>
      <c r="M19" s="28"/>
      <c r="N19" s="26">
        <v>42684</v>
      </c>
      <c r="O19" s="26">
        <v>42684</v>
      </c>
      <c r="P19" s="26">
        <v>42684</v>
      </c>
      <c r="Q19" s="26" t="s">
        <v>70</v>
      </c>
      <c r="R19" s="26">
        <v>42695</v>
      </c>
      <c r="S19" s="26">
        <v>42701</v>
      </c>
      <c r="T19" s="26">
        <v>42791</v>
      </c>
      <c r="U19" s="26">
        <v>42799</v>
      </c>
      <c r="V19" s="28"/>
      <c r="W19" s="28"/>
      <c r="Z19" s="26">
        <v>42761</v>
      </c>
      <c r="AA19" s="26"/>
      <c r="AB19" s="26"/>
      <c r="AC19" s="26"/>
    </row>
    <row r="20" spans="1:29" s="118" customFormat="1" ht="45" customHeight="1" x14ac:dyDescent="0.25">
      <c r="A20" s="35">
        <v>19</v>
      </c>
      <c r="B20" s="36" t="s">
        <v>257</v>
      </c>
      <c r="C20" s="37">
        <v>1002</v>
      </c>
      <c r="D20" s="49"/>
      <c r="E20" s="22" t="s">
        <v>370</v>
      </c>
      <c r="F20" s="49"/>
      <c r="G20" s="40" t="s">
        <v>64</v>
      </c>
      <c r="H20" s="40" t="s">
        <v>29</v>
      </c>
      <c r="I20" s="38"/>
      <c r="J20" s="21" t="s">
        <v>258</v>
      </c>
      <c r="K20" s="49" t="s">
        <v>71</v>
      </c>
      <c r="L20" s="28"/>
      <c r="M20" s="28"/>
      <c r="N20" s="26">
        <v>42708</v>
      </c>
      <c r="O20" s="26">
        <v>42708</v>
      </c>
      <c r="P20" s="26">
        <v>42704</v>
      </c>
      <c r="Q20" s="26" t="s">
        <v>72</v>
      </c>
      <c r="R20" s="26">
        <v>42713</v>
      </c>
      <c r="S20" s="26">
        <v>42733</v>
      </c>
      <c r="T20" s="26"/>
      <c r="U20" s="28"/>
      <c r="V20" s="28"/>
      <c r="W20" s="28"/>
      <c r="Z20" s="26"/>
      <c r="AA20" s="26"/>
      <c r="AB20" s="26"/>
      <c r="AC20" s="26"/>
    </row>
    <row r="21" spans="1:29" s="118" customFormat="1" ht="75" customHeight="1" x14ac:dyDescent="0.25">
      <c r="A21" s="35">
        <v>20</v>
      </c>
      <c r="B21" s="36" t="s">
        <v>257</v>
      </c>
      <c r="C21" s="37">
        <v>1068</v>
      </c>
      <c r="D21" s="49"/>
      <c r="E21" s="22" t="s">
        <v>371</v>
      </c>
      <c r="F21" s="49"/>
      <c r="G21" s="40" t="s">
        <v>64</v>
      </c>
      <c r="H21" s="40" t="s">
        <v>44</v>
      </c>
      <c r="I21" s="22"/>
      <c r="J21" s="21" t="s">
        <v>258</v>
      </c>
      <c r="K21" s="51" t="s">
        <v>49</v>
      </c>
      <c r="L21" s="44" t="s">
        <v>55</v>
      </c>
      <c r="M21" s="44" t="s">
        <v>56</v>
      </c>
      <c r="N21" s="26">
        <v>42570</v>
      </c>
      <c r="O21" s="26">
        <v>42570</v>
      </c>
      <c r="P21" s="26">
        <v>42572</v>
      </c>
      <c r="Q21" s="26" t="s">
        <v>73</v>
      </c>
      <c r="R21" s="26">
        <v>42604</v>
      </c>
      <c r="S21" s="26">
        <v>41514</v>
      </c>
      <c r="T21" s="26">
        <v>42804</v>
      </c>
      <c r="U21" s="26">
        <v>42824</v>
      </c>
      <c r="V21" s="28">
        <v>42822</v>
      </c>
      <c r="W21" s="28"/>
      <c r="Z21" s="26"/>
      <c r="AA21" s="26"/>
      <c r="AB21" s="26" t="s">
        <v>60</v>
      </c>
      <c r="AC21" s="26" t="s">
        <v>67</v>
      </c>
    </row>
    <row r="22" spans="1:29" s="118" customFormat="1" ht="45" customHeight="1" x14ac:dyDescent="0.25">
      <c r="A22" s="35">
        <v>21</v>
      </c>
      <c r="B22" s="36" t="s">
        <v>257</v>
      </c>
      <c r="C22" s="37">
        <v>1023</v>
      </c>
      <c r="D22" s="49"/>
      <c r="E22" s="22" t="s">
        <v>372</v>
      </c>
      <c r="F22" s="49"/>
      <c r="G22" s="40" t="s">
        <v>64</v>
      </c>
      <c r="H22" s="40" t="s">
        <v>29</v>
      </c>
      <c r="I22" s="38"/>
      <c r="J22" s="21" t="s">
        <v>258</v>
      </c>
      <c r="K22" s="49" t="s">
        <v>30</v>
      </c>
      <c r="L22" s="28"/>
      <c r="M22" s="28"/>
      <c r="N22" s="26">
        <v>42708</v>
      </c>
      <c r="O22" s="26">
        <v>42708</v>
      </c>
      <c r="P22" s="26">
        <v>42704</v>
      </c>
      <c r="Q22" s="26" t="s">
        <v>74</v>
      </c>
      <c r="R22" s="26">
        <v>42718</v>
      </c>
      <c r="S22" s="26">
        <v>42732</v>
      </c>
      <c r="T22" s="26">
        <v>42793</v>
      </c>
      <c r="U22" s="26">
        <v>42801</v>
      </c>
      <c r="V22" s="28"/>
      <c r="W22" s="28"/>
      <c r="Z22" s="26">
        <v>42761</v>
      </c>
      <c r="AA22" s="26"/>
      <c r="AB22" s="26"/>
      <c r="AC22" s="26"/>
    </row>
    <row r="23" spans="1:29" s="118" customFormat="1" ht="45" customHeight="1" x14ac:dyDescent="0.25">
      <c r="A23" s="20">
        <v>22</v>
      </c>
      <c r="B23" s="36" t="s">
        <v>257</v>
      </c>
      <c r="C23" s="37">
        <v>1098</v>
      </c>
      <c r="D23" s="49"/>
      <c r="E23" s="22" t="s">
        <v>373</v>
      </c>
      <c r="F23" s="49"/>
      <c r="G23" s="40" t="s">
        <v>64</v>
      </c>
      <c r="H23" s="40" t="s">
        <v>29</v>
      </c>
      <c r="I23" s="52"/>
      <c r="J23" s="21" t="s">
        <v>258</v>
      </c>
      <c r="K23" s="49" t="s">
        <v>33</v>
      </c>
      <c r="L23" s="28"/>
      <c r="M23" s="28"/>
      <c r="N23" s="26">
        <v>42708</v>
      </c>
      <c r="O23" s="26">
        <v>42708</v>
      </c>
      <c r="P23" s="26">
        <v>42704</v>
      </c>
      <c r="Q23" s="26" t="s">
        <v>75</v>
      </c>
      <c r="R23" s="26">
        <v>42713</v>
      </c>
      <c r="S23" s="28"/>
      <c r="T23" s="28"/>
      <c r="U23" s="28"/>
      <c r="V23" s="28"/>
      <c r="W23" s="28"/>
      <c r="Z23" s="26"/>
      <c r="AA23" s="26"/>
      <c r="AB23" s="26"/>
      <c r="AC23" s="26"/>
    </row>
    <row r="24" spans="1:29" s="118" customFormat="1" ht="30" customHeight="1" x14ac:dyDescent="0.25">
      <c r="A24" s="20">
        <v>23</v>
      </c>
      <c r="B24" s="36" t="s">
        <v>257</v>
      </c>
      <c r="C24" s="37">
        <v>1059</v>
      </c>
      <c r="D24" s="49"/>
      <c r="E24" s="22" t="s">
        <v>374</v>
      </c>
      <c r="F24" s="49"/>
      <c r="G24" s="40" t="s">
        <v>64</v>
      </c>
      <c r="H24" s="40" t="s">
        <v>29</v>
      </c>
      <c r="I24" s="38"/>
      <c r="J24" s="21" t="s">
        <v>258</v>
      </c>
      <c r="K24" s="49" t="s">
        <v>30</v>
      </c>
      <c r="L24" s="28"/>
      <c r="M24" s="28"/>
      <c r="N24" s="26">
        <v>42708</v>
      </c>
      <c r="O24" s="26">
        <v>42708</v>
      </c>
      <c r="P24" s="26">
        <v>42704</v>
      </c>
      <c r="Q24" s="26" t="s">
        <v>76</v>
      </c>
      <c r="R24" s="26">
        <v>42718</v>
      </c>
      <c r="S24" s="26">
        <v>42732</v>
      </c>
      <c r="T24" s="26">
        <v>42802</v>
      </c>
      <c r="U24" s="26">
        <v>42812</v>
      </c>
      <c r="V24" s="28"/>
      <c r="W24" s="28"/>
      <c r="Z24" s="26">
        <v>42761</v>
      </c>
      <c r="AA24" s="26"/>
      <c r="AB24" s="26"/>
      <c r="AC24" s="26"/>
    </row>
    <row r="25" spans="1:29" s="118" customFormat="1" ht="45" customHeight="1" x14ac:dyDescent="0.25">
      <c r="A25" s="20">
        <v>24</v>
      </c>
      <c r="B25" s="36" t="s">
        <v>257</v>
      </c>
      <c r="C25" s="37" t="s">
        <v>77</v>
      </c>
      <c r="D25" s="49"/>
      <c r="E25" s="22" t="s">
        <v>375</v>
      </c>
      <c r="F25" s="49"/>
      <c r="G25" s="40" t="s">
        <v>28</v>
      </c>
      <c r="H25" s="40" t="s">
        <v>29</v>
      </c>
      <c r="I25" s="38"/>
      <c r="J25" s="21" t="s">
        <v>258</v>
      </c>
      <c r="K25" s="49" t="s">
        <v>30</v>
      </c>
      <c r="L25" s="28"/>
      <c r="M25" s="28"/>
      <c r="N25" s="26">
        <v>42708</v>
      </c>
      <c r="O25" s="26">
        <v>42708</v>
      </c>
      <c r="P25" s="26">
        <v>42704</v>
      </c>
      <c r="Q25" s="26" t="s">
        <v>78</v>
      </c>
      <c r="R25" s="26">
        <v>42718</v>
      </c>
      <c r="S25" s="26">
        <v>42733</v>
      </c>
      <c r="T25" s="26">
        <v>42786</v>
      </c>
      <c r="U25" s="26">
        <v>42794</v>
      </c>
      <c r="V25" s="28"/>
      <c r="W25" s="28"/>
      <c r="Z25" s="26">
        <v>42761</v>
      </c>
      <c r="AA25" s="26"/>
      <c r="AB25" s="26"/>
      <c r="AC25" s="26"/>
    </row>
    <row r="26" spans="1:29" s="118" customFormat="1" ht="74.25" customHeight="1" x14ac:dyDescent="0.25">
      <c r="A26" s="20">
        <v>25</v>
      </c>
      <c r="B26" s="36" t="s">
        <v>257</v>
      </c>
      <c r="C26" s="37" t="s">
        <v>259</v>
      </c>
      <c r="D26" s="37"/>
      <c r="E26" s="22" t="s">
        <v>376</v>
      </c>
      <c r="F26" s="36"/>
      <c r="G26" s="40" t="s">
        <v>28</v>
      </c>
      <c r="H26" s="40" t="s">
        <v>79</v>
      </c>
      <c r="I26" s="38"/>
      <c r="J26" s="21" t="s">
        <v>258</v>
      </c>
      <c r="K26" s="51" t="s">
        <v>30</v>
      </c>
      <c r="L26" s="28"/>
      <c r="M26" s="28"/>
      <c r="N26" s="26">
        <v>42607</v>
      </c>
      <c r="O26" s="26">
        <v>42607</v>
      </c>
      <c r="P26" s="26">
        <v>42608</v>
      </c>
      <c r="Q26" s="26" t="s">
        <v>80</v>
      </c>
      <c r="R26" s="26" t="s">
        <v>81</v>
      </c>
      <c r="S26" s="26">
        <v>42660</v>
      </c>
      <c r="T26" s="28">
        <v>42830</v>
      </c>
      <c r="U26" s="28">
        <v>42840</v>
      </c>
      <c r="V26" s="28"/>
      <c r="W26" s="28"/>
      <c r="Z26" s="26">
        <v>42761</v>
      </c>
      <c r="AA26" s="26"/>
      <c r="AB26" s="26"/>
      <c r="AC26" s="26"/>
    </row>
    <row r="27" spans="1:29" s="118" customFormat="1" ht="60" customHeight="1" x14ac:dyDescent="0.25">
      <c r="A27" s="20">
        <v>26</v>
      </c>
      <c r="B27" s="36" t="s">
        <v>257</v>
      </c>
      <c r="C27" s="37">
        <v>1203</v>
      </c>
      <c r="D27" s="37"/>
      <c r="E27" s="22" t="s">
        <v>377</v>
      </c>
      <c r="F27" s="36"/>
      <c r="G27" s="40" t="s">
        <v>28</v>
      </c>
      <c r="H27" s="40" t="s">
        <v>44</v>
      </c>
      <c r="I27" s="38"/>
      <c r="J27" s="21" t="s">
        <v>258</v>
      </c>
      <c r="K27" s="49" t="s">
        <v>30</v>
      </c>
      <c r="L27" s="28"/>
      <c r="M27" s="28"/>
      <c r="N27" s="26">
        <v>42607</v>
      </c>
      <c r="O27" s="26">
        <v>42607</v>
      </c>
      <c r="P27" s="26">
        <v>42609</v>
      </c>
      <c r="Q27" s="26" t="s">
        <v>82</v>
      </c>
      <c r="R27" s="26">
        <v>42634</v>
      </c>
      <c r="S27" s="28">
        <v>42773</v>
      </c>
      <c r="T27" s="28">
        <v>42822</v>
      </c>
      <c r="U27" s="28">
        <v>42835</v>
      </c>
      <c r="V27" s="28"/>
      <c r="W27" s="28"/>
      <c r="Z27" s="26">
        <v>42761</v>
      </c>
      <c r="AA27" s="26"/>
      <c r="AB27" s="26"/>
      <c r="AC27" s="26"/>
    </row>
    <row r="28" spans="1:29" s="118" customFormat="1" ht="40.5" customHeight="1" x14ac:dyDescent="0.25">
      <c r="A28" s="20">
        <v>27</v>
      </c>
      <c r="B28" s="36" t="s">
        <v>257</v>
      </c>
      <c r="C28" s="37" t="s">
        <v>83</v>
      </c>
      <c r="D28" s="49"/>
      <c r="E28" s="22" t="s">
        <v>378</v>
      </c>
      <c r="F28" s="49"/>
      <c r="G28" s="40" t="s">
        <v>28</v>
      </c>
      <c r="H28" s="40" t="s">
        <v>29</v>
      </c>
      <c r="I28" s="38"/>
      <c r="J28" s="21" t="s">
        <v>258</v>
      </c>
      <c r="K28" s="49" t="s">
        <v>30</v>
      </c>
      <c r="L28" s="28"/>
      <c r="M28" s="28"/>
      <c r="N28" s="26">
        <v>42718</v>
      </c>
      <c r="O28" s="26">
        <v>42718</v>
      </c>
      <c r="P28" s="26">
        <v>42711</v>
      </c>
      <c r="Q28" s="26" t="s">
        <v>84</v>
      </c>
      <c r="R28" s="26">
        <v>42720</v>
      </c>
      <c r="S28" s="26">
        <v>42732</v>
      </c>
      <c r="T28" s="26">
        <v>42794</v>
      </c>
      <c r="U28" s="26">
        <v>42804</v>
      </c>
      <c r="V28" s="28"/>
      <c r="W28" s="28"/>
      <c r="Z28" s="26">
        <v>42761</v>
      </c>
      <c r="AA28" s="26"/>
      <c r="AB28" s="26"/>
      <c r="AC28" s="26"/>
    </row>
    <row r="29" spans="1:29" s="118" customFormat="1" ht="60" customHeight="1" x14ac:dyDescent="0.25">
      <c r="A29" s="35">
        <v>28</v>
      </c>
      <c r="B29" s="36" t="s">
        <v>257</v>
      </c>
      <c r="C29" s="37" t="s">
        <v>85</v>
      </c>
      <c r="D29" s="49"/>
      <c r="E29" s="22" t="s">
        <v>379</v>
      </c>
      <c r="F29" s="49"/>
      <c r="G29" s="40" t="s">
        <v>28</v>
      </c>
      <c r="H29" s="40" t="s">
        <v>29</v>
      </c>
      <c r="I29" s="38"/>
      <c r="J29" s="21" t="s">
        <v>258</v>
      </c>
      <c r="K29" s="49" t="s">
        <v>49</v>
      </c>
      <c r="L29" s="28"/>
      <c r="M29" s="28"/>
      <c r="N29" s="44">
        <v>42675</v>
      </c>
      <c r="O29" s="44">
        <v>42675</v>
      </c>
      <c r="P29" s="44">
        <v>42675</v>
      </c>
      <c r="Q29" s="26" t="s">
        <v>86</v>
      </c>
      <c r="R29" s="26">
        <v>42684</v>
      </c>
      <c r="S29" s="26">
        <v>42710</v>
      </c>
      <c r="T29" s="26">
        <v>42794</v>
      </c>
      <c r="U29" s="26">
        <v>42822</v>
      </c>
      <c r="V29" s="28">
        <v>42822</v>
      </c>
      <c r="W29" s="28"/>
      <c r="Z29" s="26"/>
      <c r="AA29" s="26"/>
      <c r="AB29" s="26" t="s">
        <v>60</v>
      </c>
      <c r="AC29" s="26" t="s">
        <v>63</v>
      </c>
    </row>
    <row r="30" spans="1:29" s="120" customFormat="1" ht="30" customHeight="1" x14ac:dyDescent="0.25">
      <c r="A30" s="35">
        <v>29</v>
      </c>
      <c r="B30" s="53" t="s">
        <v>257</v>
      </c>
      <c r="C30" s="54">
        <v>1176</v>
      </c>
      <c r="D30" s="54"/>
      <c r="E30" s="22" t="s">
        <v>380</v>
      </c>
      <c r="F30" s="53"/>
      <c r="G30" s="55" t="s">
        <v>28</v>
      </c>
      <c r="H30" s="55" t="s">
        <v>79</v>
      </c>
      <c r="I30" s="56"/>
      <c r="J30" s="21" t="s">
        <v>258</v>
      </c>
      <c r="K30" s="54" t="s">
        <v>87</v>
      </c>
      <c r="L30" s="27"/>
      <c r="M30" s="27"/>
      <c r="N30" s="27">
        <v>42590</v>
      </c>
      <c r="O30" s="27">
        <v>42591</v>
      </c>
      <c r="P30" s="27">
        <v>42591</v>
      </c>
      <c r="Q30" s="27"/>
      <c r="R30" s="27"/>
      <c r="S30" s="27"/>
      <c r="T30" s="27"/>
      <c r="U30" s="27"/>
      <c r="V30" s="27"/>
      <c r="W30" s="27"/>
      <c r="Z30" s="27"/>
      <c r="AA30" s="27"/>
      <c r="AB30" s="27"/>
      <c r="AC30" s="27"/>
    </row>
    <row r="31" spans="1:29" s="121" customFormat="1" ht="40.5" customHeight="1" x14ac:dyDescent="0.25">
      <c r="A31" s="35">
        <v>30</v>
      </c>
      <c r="B31" s="57" t="s">
        <v>257</v>
      </c>
      <c r="C31" s="58">
        <v>1004</v>
      </c>
      <c r="D31" s="58"/>
      <c r="E31" s="22" t="s">
        <v>381</v>
      </c>
      <c r="F31" s="58"/>
      <c r="G31" s="60" t="s">
        <v>28</v>
      </c>
      <c r="H31" s="60" t="s">
        <v>29</v>
      </c>
      <c r="I31" s="61"/>
      <c r="J31" s="21" t="s">
        <v>258</v>
      </c>
      <c r="K31" s="58" t="s">
        <v>49</v>
      </c>
      <c r="L31" s="62"/>
      <c r="M31" s="62"/>
      <c r="N31" s="62">
        <v>42729</v>
      </c>
      <c r="O31" s="62">
        <v>42730</v>
      </c>
      <c r="P31" s="62">
        <v>42730</v>
      </c>
      <c r="Q31" s="62" t="s">
        <v>88</v>
      </c>
      <c r="R31" s="62">
        <v>42733</v>
      </c>
      <c r="S31" s="62">
        <v>42736</v>
      </c>
      <c r="T31" s="62">
        <v>42755</v>
      </c>
      <c r="U31" s="62">
        <v>42766</v>
      </c>
      <c r="V31" s="62">
        <v>42762</v>
      </c>
      <c r="W31" s="62"/>
      <c r="Z31" s="62"/>
      <c r="AA31" s="62"/>
      <c r="AB31" s="62"/>
      <c r="AC31" s="62"/>
    </row>
    <row r="32" spans="1:29" s="121" customFormat="1" ht="30" x14ac:dyDescent="0.25">
      <c r="A32" s="20">
        <v>31</v>
      </c>
      <c r="B32" s="57" t="s">
        <v>257</v>
      </c>
      <c r="C32" s="58">
        <v>1174</v>
      </c>
      <c r="D32" s="58"/>
      <c r="E32" s="22" t="s">
        <v>382</v>
      </c>
      <c r="F32" s="58"/>
      <c r="G32" s="58"/>
      <c r="H32" s="61"/>
      <c r="I32" s="61"/>
      <c r="J32" s="21" t="s">
        <v>258</v>
      </c>
      <c r="K32" s="58" t="s">
        <v>49</v>
      </c>
      <c r="L32" s="62">
        <v>42376</v>
      </c>
      <c r="M32" s="62" t="s">
        <v>89</v>
      </c>
      <c r="N32" s="62"/>
      <c r="O32" s="62">
        <v>42368</v>
      </c>
      <c r="P32" s="62"/>
      <c r="Q32" s="62"/>
      <c r="R32" s="62"/>
      <c r="S32" s="62">
        <v>42392</v>
      </c>
      <c r="T32" s="62"/>
      <c r="U32" s="62">
        <v>42439</v>
      </c>
      <c r="V32" s="62">
        <v>42439</v>
      </c>
      <c r="W32" s="62"/>
      <c r="Z32" s="62"/>
      <c r="AA32" s="62"/>
      <c r="AB32" s="62"/>
      <c r="AC32" s="62"/>
    </row>
    <row r="33" spans="1:29" s="121" customFormat="1" ht="30" x14ac:dyDescent="0.25">
      <c r="A33" s="20">
        <v>32</v>
      </c>
      <c r="B33" s="57" t="s">
        <v>257</v>
      </c>
      <c r="C33" s="58">
        <v>1172</v>
      </c>
      <c r="D33" s="58"/>
      <c r="E33" s="22" t="s">
        <v>383</v>
      </c>
      <c r="F33" s="58"/>
      <c r="G33" s="58"/>
      <c r="H33" s="61"/>
      <c r="I33" s="61"/>
      <c r="J33" s="21" t="s">
        <v>258</v>
      </c>
      <c r="K33" s="58" t="s">
        <v>49</v>
      </c>
      <c r="L33" s="62"/>
      <c r="M33" s="62">
        <v>42212</v>
      </c>
      <c r="N33" s="62">
        <v>42422</v>
      </c>
      <c r="O33" s="62">
        <v>42327</v>
      </c>
      <c r="P33" s="62"/>
      <c r="Q33" s="62"/>
      <c r="R33" s="62"/>
      <c r="S33" s="62">
        <v>42428</v>
      </c>
      <c r="T33" s="62"/>
      <c r="U33" s="62">
        <v>42475</v>
      </c>
      <c r="V33" s="62">
        <v>42475</v>
      </c>
      <c r="W33" s="62"/>
      <c r="Z33" s="62"/>
      <c r="AA33" s="62"/>
      <c r="AB33" s="62"/>
      <c r="AC33" s="62"/>
    </row>
    <row r="34" spans="1:29" s="121" customFormat="1" ht="30" customHeight="1" x14ac:dyDescent="0.25">
      <c r="A34" s="20">
        <v>33</v>
      </c>
      <c r="B34" s="57" t="s">
        <v>257</v>
      </c>
      <c r="C34" s="58">
        <v>1039</v>
      </c>
      <c r="D34" s="58"/>
      <c r="E34" s="22" t="s">
        <v>384</v>
      </c>
      <c r="F34" s="58"/>
      <c r="G34" s="58"/>
      <c r="H34" s="61"/>
      <c r="I34" s="61"/>
      <c r="J34" s="21" t="s">
        <v>258</v>
      </c>
      <c r="K34" s="58" t="s">
        <v>49</v>
      </c>
      <c r="L34" s="62" t="s">
        <v>90</v>
      </c>
      <c r="M34" s="62" t="s">
        <v>90</v>
      </c>
      <c r="N34" s="62" t="s">
        <v>90</v>
      </c>
      <c r="O34" s="62">
        <v>42414</v>
      </c>
      <c r="P34" s="62">
        <v>42414</v>
      </c>
      <c r="Q34" s="62"/>
      <c r="R34" s="62">
        <v>42418</v>
      </c>
      <c r="S34" s="62">
        <v>42432</v>
      </c>
      <c r="T34" s="62">
        <v>42486</v>
      </c>
      <c r="U34" s="62">
        <v>42500</v>
      </c>
      <c r="V34" s="62">
        <v>42500</v>
      </c>
      <c r="W34" s="62"/>
      <c r="Z34" s="62"/>
      <c r="AA34" s="62"/>
      <c r="AB34" s="62"/>
      <c r="AC34" s="62"/>
    </row>
    <row r="35" spans="1:29" s="121" customFormat="1" ht="30" customHeight="1" x14ac:dyDescent="0.25">
      <c r="A35" s="35">
        <v>34</v>
      </c>
      <c r="B35" s="57" t="s">
        <v>257</v>
      </c>
      <c r="C35" s="58">
        <v>1178</v>
      </c>
      <c r="D35" s="61"/>
      <c r="E35" s="22" t="s">
        <v>385</v>
      </c>
      <c r="F35" s="58"/>
      <c r="G35" s="58"/>
      <c r="H35" s="61"/>
      <c r="I35" s="61"/>
      <c r="J35" s="21" t="s">
        <v>258</v>
      </c>
      <c r="K35" s="58" t="s">
        <v>49</v>
      </c>
      <c r="L35" s="62" t="s">
        <v>90</v>
      </c>
      <c r="M35" s="62">
        <v>42429</v>
      </c>
      <c r="N35" s="62">
        <v>42431</v>
      </c>
      <c r="O35" s="62">
        <v>42436</v>
      </c>
      <c r="P35" s="62">
        <v>42438</v>
      </c>
      <c r="Q35" s="62"/>
      <c r="R35" s="62">
        <v>42446</v>
      </c>
      <c r="S35" s="62">
        <v>42464</v>
      </c>
      <c r="T35" s="62"/>
      <c r="U35" s="62">
        <v>42515</v>
      </c>
      <c r="V35" s="62">
        <v>42515</v>
      </c>
      <c r="W35" s="62"/>
      <c r="Z35" s="62"/>
      <c r="AA35" s="62"/>
      <c r="AB35" s="62"/>
      <c r="AC35" s="62"/>
    </row>
    <row r="36" spans="1:29" s="121" customFormat="1" ht="45" customHeight="1" x14ac:dyDescent="0.25">
      <c r="A36" s="35">
        <v>35</v>
      </c>
      <c r="B36" s="57" t="s">
        <v>257</v>
      </c>
      <c r="C36" s="58">
        <v>1203</v>
      </c>
      <c r="D36" s="58"/>
      <c r="E36" s="22" t="s">
        <v>386</v>
      </c>
      <c r="F36" s="57"/>
      <c r="G36" s="60" t="s">
        <v>48</v>
      </c>
      <c r="H36" s="60" t="s">
        <v>44</v>
      </c>
      <c r="I36" s="61"/>
      <c r="J36" s="21" t="s">
        <v>258</v>
      </c>
      <c r="K36" s="58" t="s">
        <v>49</v>
      </c>
      <c r="L36" s="62"/>
      <c r="M36" s="62"/>
      <c r="N36" s="62">
        <v>42641</v>
      </c>
      <c r="O36" s="62">
        <v>42641</v>
      </c>
      <c r="P36" s="62" t="s">
        <v>91</v>
      </c>
      <c r="Q36" s="62" t="s">
        <v>92</v>
      </c>
      <c r="R36" s="62" t="s">
        <v>93</v>
      </c>
      <c r="S36" s="62">
        <v>42647</v>
      </c>
      <c r="T36" s="62" t="s">
        <v>94</v>
      </c>
      <c r="U36" s="62">
        <v>42703</v>
      </c>
      <c r="V36" s="62">
        <v>42703</v>
      </c>
      <c r="W36" s="62">
        <v>42704</v>
      </c>
      <c r="Z36" s="62"/>
      <c r="AA36" s="62"/>
      <c r="AB36" s="62"/>
      <c r="AC36" s="62"/>
    </row>
    <row r="37" spans="1:29" s="121" customFormat="1" ht="60" customHeight="1" x14ac:dyDescent="0.25">
      <c r="A37" s="20">
        <v>36</v>
      </c>
      <c r="B37" s="57" t="s">
        <v>257</v>
      </c>
      <c r="C37" s="58">
        <v>1175</v>
      </c>
      <c r="D37" s="58"/>
      <c r="E37" s="22" t="s">
        <v>387</v>
      </c>
      <c r="F37" s="57"/>
      <c r="G37" s="60" t="s">
        <v>48</v>
      </c>
      <c r="H37" s="60" t="s">
        <v>79</v>
      </c>
      <c r="I37" s="61"/>
      <c r="J37" s="21" t="s">
        <v>258</v>
      </c>
      <c r="K37" s="63" t="s">
        <v>49</v>
      </c>
      <c r="L37" s="62"/>
      <c r="M37" s="62">
        <v>42439</v>
      </c>
      <c r="N37" s="62">
        <v>42583</v>
      </c>
      <c r="O37" s="62">
        <v>42584</v>
      </c>
      <c r="P37" s="62">
        <v>42584</v>
      </c>
      <c r="Q37" s="62" t="s">
        <v>95</v>
      </c>
      <c r="R37" s="62">
        <v>42603</v>
      </c>
      <c r="S37" s="62">
        <v>42652</v>
      </c>
      <c r="T37" s="62">
        <v>42732</v>
      </c>
      <c r="U37" s="62">
        <v>42745</v>
      </c>
      <c r="V37" s="62">
        <v>42751</v>
      </c>
      <c r="W37" s="62">
        <v>42753</v>
      </c>
      <c r="Z37" s="62"/>
      <c r="AA37" s="62"/>
      <c r="AB37" s="62"/>
      <c r="AC37" s="62"/>
    </row>
    <row r="38" spans="1:29" s="121" customFormat="1" ht="40.5" customHeight="1" x14ac:dyDescent="0.25">
      <c r="A38" s="20">
        <v>37</v>
      </c>
      <c r="B38" s="57" t="s">
        <v>257</v>
      </c>
      <c r="C38" s="58" t="s">
        <v>96</v>
      </c>
      <c r="D38" s="58"/>
      <c r="E38" s="22" t="s">
        <v>388</v>
      </c>
      <c r="F38" s="58"/>
      <c r="G38" s="60" t="s">
        <v>28</v>
      </c>
      <c r="H38" s="60" t="s">
        <v>29</v>
      </c>
      <c r="I38" s="61"/>
      <c r="J38" s="21" t="s">
        <v>258</v>
      </c>
      <c r="K38" s="58" t="s">
        <v>49</v>
      </c>
      <c r="L38" s="62"/>
      <c r="M38" s="62"/>
      <c r="N38" s="62">
        <v>42729</v>
      </c>
      <c r="O38" s="62">
        <v>42729</v>
      </c>
      <c r="P38" s="62"/>
      <c r="Q38" s="62" t="s">
        <v>97</v>
      </c>
      <c r="R38" s="62">
        <v>42734</v>
      </c>
      <c r="S38" s="62">
        <v>42734</v>
      </c>
      <c r="T38" s="62">
        <v>42768</v>
      </c>
      <c r="U38" s="62">
        <v>42770</v>
      </c>
      <c r="V38" s="62">
        <v>42768</v>
      </c>
      <c r="W38" s="62"/>
      <c r="Z38" s="62"/>
      <c r="AA38" s="62"/>
      <c r="AB38" s="62"/>
      <c r="AC38" s="62"/>
    </row>
    <row r="39" spans="1:29" s="121" customFormat="1" ht="60" customHeight="1" x14ac:dyDescent="0.25">
      <c r="A39" s="20">
        <v>38</v>
      </c>
      <c r="B39" s="57" t="s">
        <v>257</v>
      </c>
      <c r="C39" s="58" t="s">
        <v>98</v>
      </c>
      <c r="D39" s="58"/>
      <c r="E39" s="22" t="s">
        <v>389</v>
      </c>
      <c r="F39" s="58"/>
      <c r="G39" s="60" t="s">
        <v>28</v>
      </c>
      <c r="H39" s="60" t="s">
        <v>29</v>
      </c>
      <c r="I39" s="61"/>
      <c r="J39" s="21" t="s">
        <v>258</v>
      </c>
      <c r="K39" s="58" t="s">
        <v>49</v>
      </c>
      <c r="L39" s="62">
        <v>42663</v>
      </c>
      <c r="M39" s="62"/>
      <c r="N39" s="62">
        <v>42659</v>
      </c>
      <c r="O39" s="62">
        <v>42663</v>
      </c>
      <c r="P39" s="62" t="s">
        <v>58</v>
      </c>
      <c r="Q39" s="62" t="s">
        <v>99</v>
      </c>
      <c r="R39" s="62" t="s">
        <v>100</v>
      </c>
      <c r="S39" s="62">
        <v>42685</v>
      </c>
      <c r="T39" s="62">
        <v>42731</v>
      </c>
      <c r="U39" s="62">
        <v>42740</v>
      </c>
      <c r="V39" s="62">
        <v>42737</v>
      </c>
      <c r="W39" s="62"/>
      <c r="Z39" s="62"/>
      <c r="AA39" s="62"/>
      <c r="AB39" s="62"/>
      <c r="AC39" s="62"/>
    </row>
    <row r="40" spans="1:29" s="121" customFormat="1" ht="105" customHeight="1" x14ac:dyDescent="0.25">
      <c r="A40" s="35">
        <v>39</v>
      </c>
      <c r="B40" s="57" t="s">
        <v>257</v>
      </c>
      <c r="C40" s="58">
        <v>1133</v>
      </c>
      <c r="D40" s="58"/>
      <c r="E40" s="22" t="s">
        <v>390</v>
      </c>
      <c r="F40" s="57"/>
      <c r="G40" s="60" t="s">
        <v>64</v>
      </c>
      <c r="H40" s="60" t="s">
        <v>29</v>
      </c>
      <c r="I40" s="61"/>
      <c r="J40" s="21" t="s">
        <v>258</v>
      </c>
      <c r="K40" s="58" t="s">
        <v>49</v>
      </c>
      <c r="L40" s="62"/>
      <c r="M40" s="62"/>
      <c r="N40" s="62">
        <v>42697</v>
      </c>
      <c r="O40" s="62">
        <v>42697</v>
      </c>
      <c r="P40" s="62">
        <v>42698</v>
      </c>
      <c r="Q40" s="62" t="s">
        <v>101</v>
      </c>
      <c r="R40" s="62">
        <v>42705</v>
      </c>
      <c r="S40" s="62">
        <v>42715</v>
      </c>
      <c r="T40" s="62">
        <v>42753</v>
      </c>
      <c r="U40" s="62">
        <v>42764</v>
      </c>
      <c r="V40" s="62">
        <v>42762</v>
      </c>
      <c r="W40" s="62"/>
      <c r="Z40" s="62"/>
      <c r="AA40" s="62"/>
      <c r="AB40" s="62"/>
      <c r="AC40" s="62"/>
    </row>
    <row r="41" spans="1:29" s="121" customFormat="1" ht="60" customHeight="1" x14ac:dyDescent="0.25">
      <c r="A41" s="35">
        <v>40</v>
      </c>
      <c r="B41" s="57" t="s">
        <v>257</v>
      </c>
      <c r="C41" s="58">
        <v>1177</v>
      </c>
      <c r="D41" s="58"/>
      <c r="E41" s="22" t="s">
        <v>391</v>
      </c>
      <c r="F41" s="57"/>
      <c r="G41" s="60" t="s">
        <v>48</v>
      </c>
      <c r="H41" s="60" t="s">
        <v>79</v>
      </c>
      <c r="I41" s="61"/>
      <c r="J41" s="21" t="s">
        <v>258</v>
      </c>
      <c r="K41" s="63" t="s">
        <v>49</v>
      </c>
      <c r="L41" s="62"/>
      <c r="M41" s="62">
        <v>42450</v>
      </c>
      <c r="N41" s="62" t="s">
        <v>102</v>
      </c>
      <c r="O41" s="62" t="s">
        <v>103</v>
      </c>
      <c r="P41" s="62">
        <v>42443</v>
      </c>
      <c r="Q41" s="62" t="s">
        <v>104</v>
      </c>
      <c r="R41" s="62">
        <v>42467</v>
      </c>
      <c r="S41" s="62">
        <v>42572</v>
      </c>
      <c r="T41" s="62">
        <v>42744</v>
      </c>
      <c r="U41" s="62">
        <v>42751</v>
      </c>
      <c r="V41" s="62">
        <v>42747</v>
      </c>
      <c r="W41" s="62"/>
      <c r="Z41" s="62"/>
      <c r="AA41" s="62"/>
      <c r="AB41" s="62"/>
      <c r="AC41" s="62"/>
    </row>
    <row r="42" spans="1:29" s="121" customFormat="1" ht="45" customHeight="1" x14ac:dyDescent="0.25">
      <c r="A42" s="35">
        <v>41</v>
      </c>
      <c r="B42" s="57" t="s">
        <v>257</v>
      </c>
      <c r="C42" s="58" t="s">
        <v>260</v>
      </c>
      <c r="D42" s="58"/>
      <c r="E42" s="22" t="s">
        <v>392</v>
      </c>
      <c r="F42" s="57"/>
      <c r="G42" s="60" t="s">
        <v>48</v>
      </c>
      <c r="H42" s="60" t="s">
        <v>79</v>
      </c>
      <c r="I42" s="61"/>
      <c r="J42" s="21" t="s">
        <v>258</v>
      </c>
      <c r="K42" s="58" t="s">
        <v>49</v>
      </c>
      <c r="L42" s="62"/>
      <c r="M42" s="62"/>
      <c r="N42" s="62">
        <v>42651</v>
      </c>
      <c r="O42" s="62">
        <v>42652</v>
      </c>
      <c r="P42" s="62">
        <v>42653</v>
      </c>
      <c r="Q42" s="62" t="s">
        <v>106</v>
      </c>
      <c r="R42" s="62" t="s">
        <v>107</v>
      </c>
      <c r="S42" s="62" t="s">
        <v>108</v>
      </c>
      <c r="T42" s="62">
        <v>42775</v>
      </c>
      <c r="U42" s="62">
        <v>42798</v>
      </c>
      <c r="V42" s="62">
        <v>42796</v>
      </c>
      <c r="W42" s="62"/>
      <c r="Z42" s="62">
        <v>42761</v>
      </c>
      <c r="AA42" s="62">
        <v>42786</v>
      </c>
      <c r="AB42" s="62" t="s">
        <v>60</v>
      </c>
      <c r="AC42" s="62" t="s">
        <v>63</v>
      </c>
    </row>
    <row r="43" spans="1:29" s="121" customFormat="1" ht="62.25" customHeight="1" x14ac:dyDescent="0.25">
      <c r="A43" s="20">
        <v>42</v>
      </c>
      <c r="B43" s="57" t="s">
        <v>257</v>
      </c>
      <c r="C43" s="64" t="s">
        <v>261</v>
      </c>
      <c r="D43" s="58"/>
      <c r="E43" s="22" t="s">
        <v>393</v>
      </c>
      <c r="F43" s="57"/>
      <c r="G43" s="60" t="s">
        <v>48</v>
      </c>
      <c r="H43" s="60" t="s">
        <v>79</v>
      </c>
      <c r="I43" s="61"/>
      <c r="J43" s="21" t="s">
        <v>258</v>
      </c>
      <c r="K43" s="58" t="s">
        <v>49</v>
      </c>
      <c r="L43" s="62" t="s">
        <v>110</v>
      </c>
      <c r="M43" s="65"/>
      <c r="N43" s="62">
        <v>42632</v>
      </c>
      <c r="O43" s="62">
        <v>42633</v>
      </c>
      <c r="P43" s="62" t="s">
        <v>93</v>
      </c>
      <c r="Q43" s="62" t="s">
        <v>111</v>
      </c>
      <c r="R43" s="62">
        <v>42647</v>
      </c>
      <c r="S43" s="62">
        <v>42673</v>
      </c>
      <c r="T43" s="62">
        <v>42716</v>
      </c>
      <c r="U43" s="62">
        <v>42732</v>
      </c>
      <c r="V43" s="62">
        <v>42732</v>
      </c>
      <c r="W43" s="62"/>
      <c r="Z43" s="62"/>
      <c r="AA43" s="62"/>
      <c r="AB43" s="62"/>
      <c r="AC43" s="62"/>
    </row>
    <row r="44" spans="1:29" s="121" customFormat="1" ht="60" customHeight="1" x14ac:dyDescent="0.25">
      <c r="A44" s="20">
        <v>43</v>
      </c>
      <c r="B44" s="57" t="s">
        <v>257</v>
      </c>
      <c r="C44" s="58">
        <v>1014</v>
      </c>
      <c r="D44" s="58"/>
      <c r="E44" s="22" t="s">
        <v>394</v>
      </c>
      <c r="F44" s="57"/>
      <c r="G44" s="60" t="s">
        <v>64</v>
      </c>
      <c r="H44" s="60" t="s">
        <v>29</v>
      </c>
      <c r="I44" s="61"/>
      <c r="J44" s="21" t="s">
        <v>258</v>
      </c>
      <c r="K44" s="63" t="s">
        <v>49</v>
      </c>
      <c r="L44" s="62" t="s">
        <v>56</v>
      </c>
      <c r="M44" s="62" t="s">
        <v>56</v>
      </c>
      <c r="N44" s="62">
        <v>42591</v>
      </c>
      <c r="O44" s="62">
        <v>42591</v>
      </c>
      <c r="P44" s="62" t="s">
        <v>112</v>
      </c>
      <c r="Q44" s="62" t="s">
        <v>113</v>
      </c>
      <c r="R44" s="62">
        <v>42634</v>
      </c>
      <c r="S44" s="62" t="s">
        <v>114</v>
      </c>
      <c r="T44" s="62">
        <v>42732</v>
      </c>
      <c r="U44" s="62">
        <v>42745</v>
      </c>
      <c r="V44" s="62">
        <v>42751</v>
      </c>
      <c r="W44" s="62"/>
      <c r="Z44" s="62"/>
      <c r="AA44" s="62"/>
      <c r="AB44" s="62"/>
      <c r="AC44" s="62"/>
    </row>
    <row r="45" spans="1:29" s="121" customFormat="1" ht="45" customHeight="1" x14ac:dyDescent="0.25">
      <c r="A45" s="20">
        <v>44</v>
      </c>
      <c r="B45" s="57" t="s">
        <v>257</v>
      </c>
      <c r="C45" s="58">
        <v>1015</v>
      </c>
      <c r="D45" s="58"/>
      <c r="E45" s="22" t="s">
        <v>395</v>
      </c>
      <c r="F45" s="57"/>
      <c r="G45" s="60" t="s">
        <v>64</v>
      </c>
      <c r="H45" s="60" t="s">
        <v>29</v>
      </c>
      <c r="I45" s="61"/>
      <c r="J45" s="21" t="s">
        <v>258</v>
      </c>
      <c r="K45" s="58" t="s">
        <v>49</v>
      </c>
      <c r="L45" s="62" t="s">
        <v>56</v>
      </c>
      <c r="M45" s="62" t="s">
        <v>56</v>
      </c>
      <c r="N45" s="62">
        <v>42591</v>
      </c>
      <c r="O45" s="62">
        <v>42591</v>
      </c>
      <c r="P45" s="62" t="s">
        <v>112</v>
      </c>
      <c r="Q45" s="62" t="s">
        <v>115</v>
      </c>
      <c r="R45" s="62">
        <v>42650</v>
      </c>
      <c r="S45" s="62">
        <v>42650</v>
      </c>
      <c r="T45" s="62">
        <v>42716</v>
      </c>
      <c r="U45" s="62">
        <v>42732</v>
      </c>
      <c r="V45" s="62">
        <v>42732</v>
      </c>
      <c r="W45" s="62"/>
      <c r="Z45" s="62"/>
      <c r="AA45" s="62"/>
      <c r="AB45" s="62"/>
      <c r="AC45" s="62"/>
    </row>
    <row r="46" spans="1:29" s="121" customFormat="1" ht="60" customHeight="1" x14ac:dyDescent="0.25">
      <c r="A46" s="20">
        <v>45</v>
      </c>
      <c r="B46" s="57" t="s">
        <v>257</v>
      </c>
      <c r="C46" s="58">
        <v>1072</v>
      </c>
      <c r="D46" s="58"/>
      <c r="E46" s="22" t="s">
        <v>396</v>
      </c>
      <c r="F46" s="57"/>
      <c r="G46" s="60" t="s">
        <v>28</v>
      </c>
      <c r="H46" s="60" t="s">
        <v>79</v>
      </c>
      <c r="I46" s="61"/>
      <c r="J46" s="21" t="s">
        <v>258</v>
      </c>
      <c r="K46" s="58" t="s">
        <v>49</v>
      </c>
      <c r="L46" s="62" t="s">
        <v>56</v>
      </c>
      <c r="M46" s="62" t="s">
        <v>56</v>
      </c>
      <c r="N46" s="62">
        <v>42642</v>
      </c>
      <c r="O46" s="62">
        <v>42642</v>
      </c>
      <c r="P46" s="62" t="s">
        <v>117</v>
      </c>
      <c r="Q46" s="62" t="s">
        <v>118</v>
      </c>
      <c r="R46" s="62" t="s">
        <v>119</v>
      </c>
      <c r="S46" s="62" t="s">
        <v>107</v>
      </c>
      <c r="T46" s="62">
        <v>42775</v>
      </c>
      <c r="U46" s="62">
        <v>42798</v>
      </c>
      <c r="V46" s="62">
        <v>42796</v>
      </c>
      <c r="W46" s="62"/>
      <c r="Z46" s="62">
        <v>42761</v>
      </c>
      <c r="AA46" s="62">
        <v>42786</v>
      </c>
      <c r="AB46" s="62" t="s">
        <v>60</v>
      </c>
      <c r="AC46" s="62" t="s">
        <v>63</v>
      </c>
    </row>
    <row r="47" spans="1:29" s="121" customFormat="1" ht="40.5" customHeight="1" x14ac:dyDescent="0.25">
      <c r="A47" s="35">
        <v>46</v>
      </c>
      <c r="B47" s="57" t="s">
        <v>257</v>
      </c>
      <c r="C47" s="58" t="s">
        <v>120</v>
      </c>
      <c r="D47" s="58"/>
      <c r="E47" s="22" t="s">
        <v>397</v>
      </c>
      <c r="F47" s="58"/>
      <c r="G47" s="60" t="s">
        <v>28</v>
      </c>
      <c r="H47" s="60" t="s">
        <v>29</v>
      </c>
      <c r="I47" s="61"/>
      <c r="J47" s="21" t="s">
        <v>258</v>
      </c>
      <c r="K47" s="58" t="s">
        <v>49</v>
      </c>
      <c r="L47" s="62"/>
      <c r="M47" s="62"/>
      <c r="N47" s="62">
        <v>42718</v>
      </c>
      <c r="O47" s="62">
        <v>42718</v>
      </c>
      <c r="P47" s="62">
        <v>42711</v>
      </c>
      <c r="Q47" s="62" t="s">
        <v>121</v>
      </c>
      <c r="R47" s="62">
        <v>42718</v>
      </c>
      <c r="S47" s="62">
        <v>42731</v>
      </c>
      <c r="T47" s="62">
        <v>42774</v>
      </c>
      <c r="U47" s="62">
        <v>42798</v>
      </c>
      <c r="V47" s="62">
        <v>42788</v>
      </c>
      <c r="W47" s="62"/>
      <c r="Z47" s="62">
        <v>42761</v>
      </c>
      <c r="AA47" s="62">
        <v>42786</v>
      </c>
      <c r="AB47" s="62" t="s">
        <v>122</v>
      </c>
      <c r="AC47" s="62" t="s">
        <v>63</v>
      </c>
    </row>
    <row r="48" spans="1:29" s="121" customFormat="1" ht="40.5" customHeight="1" x14ac:dyDescent="0.25">
      <c r="A48" s="35">
        <v>47</v>
      </c>
      <c r="B48" s="57" t="s">
        <v>257</v>
      </c>
      <c r="C48" s="58">
        <v>1174</v>
      </c>
      <c r="D48" s="58"/>
      <c r="E48" s="22" t="s">
        <v>398</v>
      </c>
      <c r="F48" s="57"/>
      <c r="G48" s="60" t="s">
        <v>28</v>
      </c>
      <c r="H48" s="60" t="s">
        <v>29</v>
      </c>
      <c r="I48" s="61"/>
      <c r="J48" s="21" t="s">
        <v>258</v>
      </c>
      <c r="K48" s="58" t="s">
        <v>49</v>
      </c>
      <c r="L48" s="62"/>
      <c r="M48" s="62"/>
      <c r="N48" s="62">
        <v>42724</v>
      </c>
      <c r="O48" s="62">
        <v>42724</v>
      </c>
      <c r="P48" s="62">
        <v>42722</v>
      </c>
      <c r="Q48" s="62" t="s">
        <v>123</v>
      </c>
      <c r="R48" s="62">
        <v>42725</v>
      </c>
      <c r="S48" s="62">
        <v>42727</v>
      </c>
      <c r="T48" s="62">
        <v>42760</v>
      </c>
      <c r="U48" s="62">
        <v>42771</v>
      </c>
      <c r="V48" s="62">
        <v>42767</v>
      </c>
      <c r="W48" s="62"/>
      <c r="Z48" s="62"/>
      <c r="AA48" s="62"/>
      <c r="AB48" s="62"/>
      <c r="AC48" s="62"/>
    </row>
    <row r="49" spans="1:29" s="121" customFormat="1" ht="90" customHeight="1" x14ac:dyDescent="0.25">
      <c r="A49" s="20">
        <v>49</v>
      </c>
      <c r="B49" s="57" t="s">
        <v>257</v>
      </c>
      <c r="C49" s="58" t="s">
        <v>259</v>
      </c>
      <c r="D49" s="58"/>
      <c r="E49" s="22" t="s">
        <v>399</v>
      </c>
      <c r="F49" s="57"/>
      <c r="G49" s="60" t="s">
        <v>48</v>
      </c>
      <c r="H49" s="60" t="s">
        <v>79</v>
      </c>
      <c r="I49" s="61"/>
      <c r="J49" s="21" t="s">
        <v>258</v>
      </c>
      <c r="K49" s="63" t="s">
        <v>49</v>
      </c>
      <c r="L49" s="62"/>
      <c r="M49" s="62"/>
      <c r="N49" s="62">
        <v>42618</v>
      </c>
      <c r="O49" s="62">
        <v>42618</v>
      </c>
      <c r="P49" s="62">
        <v>42560</v>
      </c>
      <c r="Q49" s="62" t="s">
        <v>124</v>
      </c>
      <c r="R49" s="62" t="s">
        <v>125</v>
      </c>
      <c r="S49" s="62" t="s">
        <v>126</v>
      </c>
      <c r="T49" s="62">
        <v>42732</v>
      </c>
      <c r="U49" s="62">
        <v>42745</v>
      </c>
      <c r="V49" s="62">
        <v>42751</v>
      </c>
      <c r="W49" s="62">
        <v>42753</v>
      </c>
      <c r="Z49" s="62"/>
      <c r="AA49" s="62"/>
      <c r="AB49" s="62"/>
      <c r="AC49" s="62"/>
    </row>
    <row r="50" spans="1:29" s="121" customFormat="1" ht="30" customHeight="1" x14ac:dyDescent="0.25">
      <c r="A50" s="20">
        <v>51</v>
      </c>
      <c r="B50" s="57" t="s">
        <v>257</v>
      </c>
      <c r="C50" s="58">
        <v>1198</v>
      </c>
      <c r="D50" s="58"/>
      <c r="E50" s="22" t="s">
        <v>400</v>
      </c>
      <c r="F50" s="57"/>
      <c r="G50" s="60" t="s">
        <v>48</v>
      </c>
      <c r="H50" s="60" t="s">
        <v>29</v>
      </c>
      <c r="I50" s="61"/>
      <c r="J50" s="21" t="s">
        <v>258</v>
      </c>
      <c r="K50" s="58" t="s">
        <v>49</v>
      </c>
      <c r="L50" s="62"/>
      <c r="M50" s="62"/>
      <c r="N50" s="62">
        <v>42590</v>
      </c>
      <c r="O50" s="62">
        <v>42590</v>
      </c>
      <c r="P50" s="62">
        <v>42590</v>
      </c>
      <c r="Q50" s="62" t="s">
        <v>127</v>
      </c>
      <c r="R50" s="62" t="s">
        <v>125</v>
      </c>
      <c r="S50" s="62">
        <v>42668</v>
      </c>
      <c r="T50" s="62">
        <v>42719</v>
      </c>
      <c r="U50" s="62">
        <v>42732</v>
      </c>
      <c r="V50" s="62">
        <v>42731</v>
      </c>
      <c r="W50" s="62">
        <v>42772</v>
      </c>
      <c r="Z50" s="62"/>
      <c r="AA50" s="62"/>
      <c r="AB50" s="62"/>
      <c r="AC50" s="62"/>
    </row>
    <row r="51" spans="1:29" s="121" customFormat="1" ht="30" x14ac:dyDescent="0.25">
      <c r="A51" s="20">
        <v>52</v>
      </c>
      <c r="B51" s="57" t="s">
        <v>257</v>
      </c>
      <c r="C51" s="58">
        <v>1179</v>
      </c>
      <c r="D51" s="61"/>
      <c r="E51" s="22" t="s">
        <v>401</v>
      </c>
      <c r="F51" s="58"/>
      <c r="G51" s="58" t="s">
        <v>28</v>
      </c>
      <c r="H51" s="61" t="s">
        <v>129</v>
      </c>
      <c r="I51" s="61"/>
      <c r="J51" s="21" t="s">
        <v>258</v>
      </c>
      <c r="K51" s="58" t="s">
        <v>49</v>
      </c>
      <c r="L51" s="62">
        <v>42442</v>
      </c>
      <c r="M51" s="62"/>
      <c r="N51" s="62">
        <v>42444</v>
      </c>
      <c r="O51" s="62">
        <v>42444</v>
      </c>
      <c r="P51" s="62">
        <v>42444</v>
      </c>
      <c r="Q51" s="62"/>
      <c r="R51" s="62"/>
      <c r="S51" s="62">
        <v>42501</v>
      </c>
      <c r="T51" s="62">
        <v>42536</v>
      </c>
      <c r="U51" s="62">
        <v>42546</v>
      </c>
      <c r="V51" s="62">
        <v>42546</v>
      </c>
      <c r="W51" s="62"/>
      <c r="Z51" s="62"/>
      <c r="AA51" s="62"/>
      <c r="AB51" s="62"/>
      <c r="AC51" s="62"/>
    </row>
    <row r="52" spans="1:29" s="121" customFormat="1" ht="30" x14ac:dyDescent="0.25">
      <c r="A52" s="35">
        <v>53</v>
      </c>
      <c r="B52" s="57" t="s">
        <v>257</v>
      </c>
      <c r="C52" s="58">
        <v>1023</v>
      </c>
      <c r="D52" s="58"/>
      <c r="E52" s="22" t="s">
        <v>402</v>
      </c>
      <c r="F52" s="58"/>
      <c r="G52" s="60" t="s">
        <v>28</v>
      </c>
      <c r="H52" s="60" t="s">
        <v>29</v>
      </c>
      <c r="I52" s="61"/>
      <c r="J52" s="21" t="s">
        <v>258</v>
      </c>
      <c r="K52" s="58" t="s">
        <v>49</v>
      </c>
      <c r="L52" s="62"/>
      <c r="M52" s="62"/>
      <c r="N52" s="62">
        <v>42423</v>
      </c>
      <c r="O52" s="62">
        <v>42423</v>
      </c>
      <c r="P52" s="62">
        <v>42423</v>
      </c>
      <c r="Q52" s="62"/>
      <c r="R52" s="62">
        <v>42431</v>
      </c>
      <c r="S52" s="62">
        <v>42439</v>
      </c>
      <c r="T52" s="62">
        <v>42521</v>
      </c>
      <c r="U52" s="62">
        <v>42536</v>
      </c>
      <c r="V52" s="62">
        <v>42536</v>
      </c>
      <c r="W52" s="62"/>
      <c r="Z52" s="62"/>
      <c r="AA52" s="62"/>
      <c r="AB52" s="62"/>
      <c r="AC52" s="62"/>
    </row>
    <row r="53" spans="1:29" s="121" customFormat="1" ht="30" x14ac:dyDescent="0.25">
      <c r="A53" s="35">
        <v>54</v>
      </c>
      <c r="B53" s="57" t="s">
        <v>257</v>
      </c>
      <c r="C53" s="58">
        <v>1004</v>
      </c>
      <c r="D53" s="58"/>
      <c r="E53" s="22" t="s">
        <v>403</v>
      </c>
      <c r="F53" s="58"/>
      <c r="G53" s="60" t="s">
        <v>64</v>
      </c>
      <c r="H53" s="60" t="s">
        <v>29</v>
      </c>
      <c r="I53" s="61"/>
      <c r="J53" s="21" t="s">
        <v>258</v>
      </c>
      <c r="K53" s="58" t="s">
        <v>49</v>
      </c>
      <c r="L53" s="62"/>
      <c r="M53" s="62"/>
      <c r="N53" s="62">
        <v>42403</v>
      </c>
      <c r="O53" s="62">
        <v>42403</v>
      </c>
      <c r="P53" s="62">
        <v>42404</v>
      </c>
      <c r="Q53" s="62"/>
      <c r="R53" s="62">
        <v>42429</v>
      </c>
      <c r="S53" s="62">
        <v>42439</v>
      </c>
      <c r="T53" s="62">
        <v>42519</v>
      </c>
      <c r="U53" s="62">
        <v>42536</v>
      </c>
      <c r="V53" s="62">
        <v>42536</v>
      </c>
      <c r="W53" s="62"/>
      <c r="Z53" s="62"/>
      <c r="AA53" s="62"/>
      <c r="AB53" s="62"/>
      <c r="AC53" s="62"/>
    </row>
    <row r="54" spans="1:29" s="121" customFormat="1" ht="30" x14ac:dyDescent="0.25">
      <c r="A54" s="35">
        <v>55</v>
      </c>
      <c r="B54" s="57" t="s">
        <v>257</v>
      </c>
      <c r="C54" s="58">
        <v>1024</v>
      </c>
      <c r="D54" s="58"/>
      <c r="E54" s="22" t="s">
        <v>404</v>
      </c>
      <c r="F54" s="58"/>
      <c r="G54" s="60" t="s">
        <v>28</v>
      </c>
      <c r="H54" s="60" t="s">
        <v>29</v>
      </c>
      <c r="I54" s="61"/>
      <c r="J54" s="21" t="s">
        <v>258</v>
      </c>
      <c r="K54" s="58" t="s">
        <v>49</v>
      </c>
      <c r="L54" s="62"/>
      <c r="M54" s="62"/>
      <c r="N54" s="62">
        <v>42403</v>
      </c>
      <c r="O54" s="62">
        <v>42403</v>
      </c>
      <c r="P54" s="62">
        <v>42404</v>
      </c>
      <c r="Q54" s="62"/>
      <c r="R54" s="62">
        <v>42429</v>
      </c>
      <c r="S54" s="62">
        <v>42439</v>
      </c>
      <c r="T54" s="62">
        <v>42519</v>
      </c>
      <c r="U54" s="62">
        <v>42536</v>
      </c>
      <c r="V54" s="62">
        <v>42536</v>
      </c>
      <c r="W54" s="62"/>
      <c r="Z54" s="62"/>
      <c r="AA54" s="62"/>
      <c r="AB54" s="62"/>
      <c r="AC54" s="62"/>
    </row>
    <row r="55" spans="1:29" s="120" customFormat="1" ht="30" customHeight="1" x14ac:dyDescent="0.25">
      <c r="A55" s="20">
        <v>56</v>
      </c>
      <c r="B55" s="53" t="s">
        <v>257</v>
      </c>
      <c r="C55" s="54">
        <v>1182</v>
      </c>
      <c r="D55" s="54"/>
      <c r="E55" s="22" t="s">
        <v>405</v>
      </c>
      <c r="F55" s="53"/>
      <c r="G55" s="55" t="s">
        <v>48</v>
      </c>
      <c r="H55" s="55" t="s">
        <v>44</v>
      </c>
      <c r="I55" s="56"/>
      <c r="J55" s="21" t="s">
        <v>258</v>
      </c>
      <c r="K55" s="54" t="s">
        <v>87</v>
      </c>
      <c r="L55" s="27"/>
      <c r="M55" s="27"/>
      <c r="N55" s="27">
        <v>42519</v>
      </c>
      <c r="O55" s="27">
        <v>42519</v>
      </c>
      <c r="P55" s="27"/>
      <c r="Q55" s="27"/>
      <c r="R55" s="27"/>
      <c r="S55" s="27"/>
      <c r="T55" s="27"/>
      <c r="U55" s="27">
        <v>42628</v>
      </c>
      <c r="V55" s="27"/>
      <c r="W55" s="27"/>
      <c r="Z55" s="27"/>
      <c r="AA55" s="27"/>
      <c r="AB55" s="27"/>
      <c r="AC55" s="27"/>
    </row>
    <row r="56" spans="1:29" s="120" customFormat="1" ht="30" customHeight="1" x14ac:dyDescent="0.25">
      <c r="A56" s="20">
        <v>57</v>
      </c>
      <c r="B56" s="53" t="s">
        <v>257</v>
      </c>
      <c r="C56" s="54">
        <v>1183</v>
      </c>
      <c r="D56" s="54"/>
      <c r="E56" s="22" t="s">
        <v>406</v>
      </c>
      <c r="F56" s="54"/>
      <c r="G56" s="55" t="s">
        <v>48</v>
      </c>
      <c r="H56" s="55" t="s">
        <v>44</v>
      </c>
      <c r="I56" s="56"/>
      <c r="J56" s="21" t="s">
        <v>258</v>
      </c>
      <c r="K56" s="54" t="s">
        <v>87</v>
      </c>
      <c r="L56" s="27"/>
      <c r="M56" s="27"/>
      <c r="N56" s="27">
        <v>42578</v>
      </c>
      <c r="O56" s="27">
        <v>42578</v>
      </c>
      <c r="P56" s="27">
        <v>42578</v>
      </c>
      <c r="Q56" s="27"/>
      <c r="R56" s="27">
        <v>42591</v>
      </c>
      <c r="S56" s="27"/>
      <c r="T56" s="27"/>
      <c r="U56" s="27">
        <v>42633</v>
      </c>
      <c r="V56" s="27"/>
      <c r="W56" s="27"/>
      <c r="Z56" s="27"/>
      <c r="AA56" s="27"/>
      <c r="AB56" s="27"/>
      <c r="AC56" s="27"/>
    </row>
    <row r="57" spans="1:29" s="121" customFormat="1" ht="30" x14ac:dyDescent="0.25">
      <c r="A57" s="20">
        <v>58</v>
      </c>
      <c r="B57" s="57" t="s">
        <v>257</v>
      </c>
      <c r="C57" s="58">
        <v>1178</v>
      </c>
      <c r="D57" s="58"/>
      <c r="E57" s="22" t="s">
        <v>407</v>
      </c>
      <c r="F57" s="57"/>
      <c r="G57" s="60" t="s">
        <v>28</v>
      </c>
      <c r="H57" s="60" t="s">
        <v>29</v>
      </c>
      <c r="I57" s="61"/>
      <c r="J57" s="21" t="s">
        <v>258</v>
      </c>
      <c r="K57" s="58" t="s">
        <v>49</v>
      </c>
      <c r="L57" s="62"/>
      <c r="M57" s="62"/>
      <c r="N57" s="62"/>
      <c r="O57" s="62"/>
      <c r="P57" s="62"/>
      <c r="Q57" s="62"/>
      <c r="R57" s="62"/>
      <c r="S57" s="62"/>
      <c r="T57" s="62">
        <v>42607</v>
      </c>
      <c r="U57" s="62">
        <v>42697</v>
      </c>
      <c r="V57" s="62">
        <v>42628</v>
      </c>
      <c r="W57" s="62"/>
      <c r="Z57" s="62"/>
      <c r="AA57" s="62"/>
      <c r="AB57" s="62"/>
      <c r="AC57" s="62"/>
    </row>
    <row r="58" spans="1:29" s="121" customFormat="1" ht="45" customHeight="1" x14ac:dyDescent="0.25">
      <c r="A58" s="35">
        <v>59</v>
      </c>
      <c r="B58" s="57" t="s">
        <v>257</v>
      </c>
      <c r="C58" s="58">
        <v>1187</v>
      </c>
      <c r="D58" s="58"/>
      <c r="E58" s="22" t="s">
        <v>408</v>
      </c>
      <c r="F58" s="58"/>
      <c r="G58" s="60" t="s">
        <v>28</v>
      </c>
      <c r="H58" s="60" t="s">
        <v>29</v>
      </c>
      <c r="I58" s="59"/>
      <c r="J58" s="21" t="s">
        <v>258</v>
      </c>
      <c r="K58" s="58" t="s">
        <v>49</v>
      </c>
      <c r="L58" s="62"/>
      <c r="M58" s="62"/>
      <c r="N58" s="62">
        <v>42543</v>
      </c>
      <c r="O58" s="62">
        <v>42543</v>
      </c>
      <c r="P58" s="62">
        <v>42543</v>
      </c>
      <c r="Q58" s="62"/>
      <c r="R58" s="62">
        <v>42550</v>
      </c>
      <c r="S58" s="62">
        <v>42572</v>
      </c>
      <c r="T58" s="62">
        <v>42623</v>
      </c>
      <c r="U58" s="62">
        <v>42697</v>
      </c>
      <c r="V58" s="62">
        <v>42633</v>
      </c>
      <c r="W58" s="62"/>
      <c r="Z58" s="62"/>
      <c r="AA58" s="62"/>
      <c r="AB58" s="62"/>
      <c r="AC58" s="62"/>
    </row>
    <row r="59" spans="1:29" s="121" customFormat="1" ht="75" customHeight="1" x14ac:dyDescent="0.25">
      <c r="A59" s="35">
        <v>60</v>
      </c>
      <c r="B59" s="57" t="s">
        <v>257</v>
      </c>
      <c r="C59" s="58">
        <v>1199</v>
      </c>
      <c r="D59" s="58"/>
      <c r="E59" s="22" t="s">
        <v>409</v>
      </c>
      <c r="F59" s="57"/>
      <c r="G59" s="60" t="s">
        <v>48</v>
      </c>
      <c r="H59" s="60" t="s">
        <v>29</v>
      </c>
      <c r="I59" s="61"/>
      <c r="J59" s="21" t="s">
        <v>258</v>
      </c>
      <c r="K59" s="58" t="s">
        <v>49</v>
      </c>
      <c r="L59" s="62"/>
      <c r="M59" s="62"/>
      <c r="N59" s="62">
        <v>42590</v>
      </c>
      <c r="O59" s="62">
        <v>42590</v>
      </c>
      <c r="P59" s="62">
        <v>42590</v>
      </c>
      <c r="Q59" s="62" t="s">
        <v>130</v>
      </c>
      <c r="R59" s="62" t="s">
        <v>125</v>
      </c>
      <c r="S59" s="62" t="s">
        <v>131</v>
      </c>
      <c r="T59" s="62" t="s">
        <v>132</v>
      </c>
      <c r="U59" s="62">
        <v>42684</v>
      </c>
      <c r="V59" s="62">
        <v>42697</v>
      </c>
      <c r="W59" s="62">
        <v>42702</v>
      </c>
      <c r="Z59" s="62"/>
      <c r="AA59" s="62"/>
      <c r="AB59" s="62"/>
      <c r="AC59" s="62"/>
    </row>
    <row r="60" spans="1:29" s="121" customFormat="1" ht="45" customHeight="1" x14ac:dyDescent="0.25">
      <c r="A60" s="35">
        <v>61</v>
      </c>
      <c r="B60" s="57" t="s">
        <v>257</v>
      </c>
      <c r="C60" s="58">
        <v>1172</v>
      </c>
      <c r="D60" s="58"/>
      <c r="E60" s="22" t="s">
        <v>410</v>
      </c>
      <c r="F60" s="58"/>
      <c r="G60" s="60" t="s">
        <v>64</v>
      </c>
      <c r="H60" s="60" t="s">
        <v>29</v>
      </c>
      <c r="I60" s="61"/>
      <c r="J60" s="21" t="s">
        <v>258</v>
      </c>
      <c r="K60" s="58" t="s">
        <v>49</v>
      </c>
      <c r="L60" s="62"/>
      <c r="M60" s="62"/>
      <c r="N60" s="62">
        <v>42708</v>
      </c>
      <c r="O60" s="62">
        <v>42708</v>
      </c>
      <c r="P60" s="62">
        <v>42704</v>
      </c>
      <c r="Q60" s="62" t="s">
        <v>133</v>
      </c>
      <c r="R60" s="62">
        <v>42713</v>
      </c>
      <c r="S60" s="62">
        <v>42719</v>
      </c>
      <c r="T60" s="62">
        <v>42771</v>
      </c>
      <c r="U60" s="62">
        <v>42777</v>
      </c>
      <c r="V60" s="62">
        <v>42768</v>
      </c>
      <c r="W60" s="62"/>
      <c r="Z60" s="62"/>
      <c r="AA60" s="62"/>
      <c r="AB60" s="62"/>
      <c r="AC60" s="62"/>
    </row>
    <row r="61" spans="1:29" s="121" customFormat="1" ht="45" customHeight="1" x14ac:dyDescent="0.25">
      <c r="A61" s="20">
        <v>62</v>
      </c>
      <c r="B61" s="57" t="s">
        <v>257</v>
      </c>
      <c r="C61" s="58">
        <v>1112</v>
      </c>
      <c r="D61" s="58"/>
      <c r="E61" s="22" t="s">
        <v>411</v>
      </c>
      <c r="F61" s="58"/>
      <c r="G61" s="60" t="s">
        <v>64</v>
      </c>
      <c r="H61" s="60" t="s">
        <v>29</v>
      </c>
      <c r="I61" s="61"/>
      <c r="J61" s="21" t="s">
        <v>258</v>
      </c>
      <c r="K61" s="58" t="s">
        <v>49</v>
      </c>
      <c r="L61" s="62"/>
      <c r="M61" s="62"/>
      <c r="N61" s="62">
        <v>42708</v>
      </c>
      <c r="O61" s="62">
        <v>42708</v>
      </c>
      <c r="P61" s="62">
        <v>42704</v>
      </c>
      <c r="Q61" s="62" t="s">
        <v>134</v>
      </c>
      <c r="R61" s="62">
        <v>42713</v>
      </c>
      <c r="S61" s="62">
        <v>42719</v>
      </c>
      <c r="T61" s="62">
        <v>42768</v>
      </c>
      <c r="U61" s="62">
        <v>42774</v>
      </c>
      <c r="V61" s="62">
        <v>42773</v>
      </c>
      <c r="W61" s="62"/>
      <c r="Z61" s="62"/>
      <c r="AA61" s="62"/>
      <c r="AB61" s="62"/>
      <c r="AC61" s="62"/>
    </row>
    <row r="62" spans="1:29" s="121" customFormat="1" ht="60" customHeight="1" x14ac:dyDescent="0.25">
      <c r="A62" s="20">
        <v>63</v>
      </c>
      <c r="B62" s="57" t="s">
        <v>257</v>
      </c>
      <c r="C62" s="58">
        <v>1201</v>
      </c>
      <c r="D62" s="58"/>
      <c r="E62" s="22" t="s">
        <v>412</v>
      </c>
      <c r="F62" s="57"/>
      <c r="G62" s="60" t="s">
        <v>48</v>
      </c>
      <c r="H62" s="60" t="s">
        <v>29</v>
      </c>
      <c r="I62" s="61"/>
      <c r="J62" s="21" t="s">
        <v>258</v>
      </c>
      <c r="K62" s="58" t="s">
        <v>49</v>
      </c>
      <c r="L62" s="62"/>
      <c r="M62" s="62"/>
      <c r="N62" s="62">
        <v>42590</v>
      </c>
      <c r="O62" s="62">
        <v>42590</v>
      </c>
      <c r="P62" s="62">
        <v>42590</v>
      </c>
      <c r="Q62" s="62" t="s">
        <v>135</v>
      </c>
      <c r="R62" s="62" t="s">
        <v>125</v>
      </c>
      <c r="S62" s="62" t="s">
        <v>136</v>
      </c>
      <c r="T62" s="62" t="s">
        <v>132</v>
      </c>
      <c r="U62" s="62">
        <v>42722</v>
      </c>
      <c r="V62" s="62">
        <v>42697</v>
      </c>
      <c r="W62" s="62">
        <v>42702</v>
      </c>
      <c r="Z62" s="62"/>
      <c r="AA62" s="62"/>
      <c r="AB62" s="62"/>
      <c r="AC62" s="62"/>
    </row>
    <row r="63" spans="1:29" s="121" customFormat="1" ht="30" customHeight="1" x14ac:dyDescent="0.25">
      <c r="A63" s="20">
        <v>64</v>
      </c>
      <c r="B63" s="57" t="s">
        <v>257</v>
      </c>
      <c r="C63" s="64" t="s">
        <v>262</v>
      </c>
      <c r="D63" s="58"/>
      <c r="E63" s="22" t="s">
        <v>413</v>
      </c>
      <c r="F63" s="58"/>
      <c r="G63" s="60" t="s">
        <v>64</v>
      </c>
      <c r="H63" s="60" t="s">
        <v>29</v>
      </c>
      <c r="I63" s="61"/>
      <c r="J63" s="21" t="s">
        <v>258</v>
      </c>
      <c r="K63" s="58" t="s">
        <v>49</v>
      </c>
      <c r="L63" s="62" t="s">
        <v>56</v>
      </c>
      <c r="M63" s="62" t="s">
        <v>56</v>
      </c>
      <c r="N63" s="62">
        <v>42618</v>
      </c>
      <c r="O63" s="62">
        <v>42618</v>
      </c>
      <c r="P63" s="62">
        <v>42591</v>
      </c>
      <c r="Q63" s="62" t="s">
        <v>137</v>
      </c>
      <c r="R63" s="62">
        <v>42641</v>
      </c>
      <c r="S63" s="62" t="s">
        <v>138</v>
      </c>
      <c r="T63" s="62" t="s">
        <v>139</v>
      </c>
      <c r="U63" s="62">
        <v>42697</v>
      </c>
      <c r="V63" s="62">
        <v>42684</v>
      </c>
      <c r="W63" s="62"/>
      <c r="Z63" s="62"/>
      <c r="AA63" s="62"/>
      <c r="AB63" s="62"/>
      <c r="AC63" s="62"/>
    </row>
    <row r="64" spans="1:29" s="121" customFormat="1" ht="60" customHeight="1" x14ac:dyDescent="0.25">
      <c r="A64" s="20">
        <v>65</v>
      </c>
      <c r="B64" s="57" t="s">
        <v>257</v>
      </c>
      <c r="C64" s="58">
        <v>1189</v>
      </c>
      <c r="D64" s="58"/>
      <c r="E64" s="22" t="s">
        <v>414</v>
      </c>
      <c r="F64" s="57"/>
      <c r="G64" s="60" t="s">
        <v>64</v>
      </c>
      <c r="H64" s="60" t="s">
        <v>44</v>
      </c>
      <c r="I64" s="61"/>
      <c r="J64" s="21" t="s">
        <v>258</v>
      </c>
      <c r="K64" s="63" t="s">
        <v>49</v>
      </c>
      <c r="L64" s="62"/>
      <c r="M64" s="62"/>
      <c r="N64" s="62">
        <v>42578</v>
      </c>
      <c r="O64" s="62">
        <v>42578</v>
      </c>
      <c r="P64" s="62">
        <v>42578</v>
      </c>
      <c r="Q64" s="62" t="s">
        <v>140</v>
      </c>
      <c r="R64" s="62">
        <v>42591</v>
      </c>
      <c r="S64" s="62">
        <v>42619</v>
      </c>
      <c r="T64" s="62">
        <v>42718</v>
      </c>
      <c r="U64" s="62">
        <v>42697</v>
      </c>
      <c r="V64" s="62">
        <v>42722</v>
      </c>
      <c r="W64" s="62"/>
      <c r="Z64" s="62"/>
      <c r="AA64" s="62"/>
      <c r="AB64" s="62"/>
      <c r="AC64" s="62"/>
    </row>
    <row r="65" spans="1:29" s="121" customFormat="1" ht="60" customHeight="1" x14ac:dyDescent="0.25">
      <c r="A65" s="20">
        <v>66</v>
      </c>
      <c r="B65" s="57" t="s">
        <v>257</v>
      </c>
      <c r="C65" s="58">
        <v>1190</v>
      </c>
      <c r="D65" s="58"/>
      <c r="E65" s="22" t="s">
        <v>415</v>
      </c>
      <c r="F65" s="57"/>
      <c r="G65" s="60" t="s">
        <v>48</v>
      </c>
      <c r="H65" s="60" t="s">
        <v>29</v>
      </c>
      <c r="I65" s="61"/>
      <c r="J65" s="21" t="s">
        <v>258</v>
      </c>
      <c r="K65" s="58" t="s">
        <v>49</v>
      </c>
      <c r="L65" s="62"/>
      <c r="M65" s="62"/>
      <c r="N65" s="62">
        <v>42590</v>
      </c>
      <c r="O65" s="62">
        <v>42590</v>
      </c>
      <c r="P65" s="62">
        <v>42590</v>
      </c>
      <c r="Q65" s="62" t="s">
        <v>142</v>
      </c>
      <c r="R65" s="62" t="s">
        <v>125</v>
      </c>
      <c r="S65" s="62">
        <v>42665</v>
      </c>
      <c r="T65" s="62" t="s">
        <v>132</v>
      </c>
      <c r="U65" s="62">
        <v>42697</v>
      </c>
      <c r="V65" s="62">
        <v>42697</v>
      </c>
      <c r="W65" s="62">
        <v>42702</v>
      </c>
      <c r="Z65" s="62"/>
      <c r="AA65" s="62"/>
      <c r="AB65" s="62"/>
      <c r="AC65" s="62"/>
    </row>
    <row r="66" spans="1:29" s="121" customFormat="1" ht="45" customHeight="1" x14ac:dyDescent="0.25">
      <c r="A66" s="35">
        <v>67</v>
      </c>
      <c r="B66" s="57" t="s">
        <v>257</v>
      </c>
      <c r="C66" s="58" t="s">
        <v>143</v>
      </c>
      <c r="D66" s="58"/>
      <c r="E66" s="22" t="s">
        <v>416</v>
      </c>
      <c r="F66" s="58"/>
      <c r="G66" s="60" t="s">
        <v>28</v>
      </c>
      <c r="H66" s="60" t="s">
        <v>29</v>
      </c>
      <c r="I66" s="61"/>
      <c r="J66" s="21" t="s">
        <v>258</v>
      </c>
      <c r="K66" s="58" t="s">
        <v>49</v>
      </c>
      <c r="L66" s="62"/>
      <c r="M66" s="62"/>
      <c r="N66" s="62">
        <v>42708</v>
      </c>
      <c r="O66" s="62">
        <v>42708</v>
      </c>
      <c r="P66" s="62">
        <v>42704</v>
      </c>
      <c r="Q66" s="62" t="s">
        <v>144</v>
      </c>
      <c r="R66" s="62">
        <v>42713</v>
      </c>
      <c r="S66" s="62">
        <v>42729</v>
      </c>
      <c r="T66" s="62">
        <v>42418</v>
      </c>
      <c r="U66" s="62">
        <v>42791</v>
      </c>
      <c r="V66" s="62">
        <v>42788</v>
      </c>
      <c r="W66" s="62"/>
      <c r="Z66" s="62"/>
      <c r="AA66" s="62"/>
      <c r="AB66" s="62"/>
      <c r="AC66" s="62"/>
    </row>
    <row r="67" spans="1:29" s="121" customFormat="1" ht="40.5" customHeight="1" x14ac:dyDescent="0.25">
      <c r="A67" s="35">
        <v>68</v>
      </c>
      <c r="B67" s="57" t="s">
        <v>257</v>
      </c>
      <c r="C67" s="58" t="s">
        <v>145</v>
      </c>
      <c r="D67" s="58"/>
      <c r="E67" s="22" t="s">
        <v>417</v>
      </c>
      <c r="F67" s="58"/>
      <c r="G67" s="60" t="s">
        <v>28</v>
      </c>
      <c r="H67" s="60" t="s">
        <v>29</v>
      </c>
      <c r="I67" s="61"/>
      <c r="J67" s="21" t="s">
        <v>258</v>
      </c>
      <c r="K67" s="58" t="s">
        <v>49</v>
      </c>
      <c r="L67" s="62"/>
      <c r="M67" s="62"/>
      <c r="N67" s="62">
        <v>42718</v>
      </c>
      <c r="O67" s="62">
        <v>42718</v>
      </c>
      <c r="P67" s="62">
        <v>42711</v>
      </c>
      <c r="Q67" s="62" t="s">
        <v>146</v>
      </c>
      <c r="R67" s="62">
        <v>42718</v>
      </c>
      <c r="S67" s="62">
        <v>42724</v>
      </c>
      <c r="T67" s="62">
        <v>42762</v>
      </c>
      <c r="U67" s="62">
        <v>42774</v>
      </c>
      <c r="V67" s="62">
        <v>42767</v>
      </c>
      <c r="W67" s="62"/>
      <c r="Z67" s="62"/>
      <c r="AA67" s="62"/>
      <c r="AB67" s="62"/>
      <c r="AC67" s="62"/>
    </row>
    <row r="68" spans="1:29" s="121" customFormat="1" ht="40.5" customHeight="1" x14ac:dyDescent="0.25">
      <c r="A68" s="35">
        <v>69</v>
      </c>
      <c r="B68" s="57" t="s">
        <v>257</v>
      </c>
      <c r="C68" s="58" t="s">
        <v>147</v>
      </c>
      <c r="D68" s="58"/>
      <c r="E68" s="22" t="s">
        <v>418</v>
      </c>
      <c r="F68" s="58"/>
      <c r="G68" s="60" t="s">
        <v>28</v>
      </c>
      <c r="H68" s="60" t="s">
        <v>29</v>
      </c>
      <c r="I68" s="61"/>
      <c r="J68" s="21" t="s">
        <v>258</v>
      </c>
      <c r="K68" s="58" t="s">
        <v>49</v>
      </c>
      <c r="L68" s="62"/>
      <c r="M68" s="62">
        <v>42717</v>
      </c>
      <c r="N68" s="62">
        <v>42718</v>
      </c>
      <c r="O68" s="62">
        <v>42718</v>
      </c>
      <c r="P68" s="62">
        <v>42711</v>
      </c>
      <c r="Q68" s="62" t="s">
        <v>148</v>
      </c>
      <c r="R68" s="62">
        <v>42718</v>
      </c>
      <c r="S68" s="62">
        <v>42727</v>
      </c>
      <c r="T68" s="62">
        <v>42762</v>
      </c>
      <c r="U68" s="62">
        <v>42774</v>
      </c>
      <c r="V68" s="62">
        <v>42767</v>
      </c>
      <c r="W68" s="62"/>
      <c r="Z68" s="62"/>
      <c r="AA68" s="62"/>
      <c r="AB68" s="62"/>
      <c r="AC68" s="62"/>
    </row>
    <row r="69" spans="1:29" s="121" customFormat="1" ht="60" customHeight="1" x14ac:dyDescent="0.25">
      <c r="A69" s="20">
        <v>70</v>
      </c>
      <c r="B69" s="57" t="s">
        <v>257</v>
      </c>
      <c r="C69" s="58">
        <v>1191</v>
      </c>
      <c r="D69" s="58"/>
      <c r="E69" s="22" t="s">
        <v>419</v>
      </c>
      <c r="F69" s="57"/>
      <c r="G69" s="60" t="s">
        <v>48</v>
      </c>
      <c r="H69" s="60" t="s">
        <v>29</v>
      </c>
      <c r="I69" s="61"/>
      <c r="J69" s="21" t="s">
        <v>258</v>
      </c>
      <c r="K69" s="58" t="s">
        <v>49</v>
      </c>
      <c r="L69" s="62"/>
      <c r="M69" s="62"/>
      <c r="N69" s="62">
        <v>42590</v>
      </c>
      <c r="O69" s="62">
        <v>42590</v>
      </c>
      <c r="P69" s="62">
        <v>42590</v>
      </c>
      <c r="Q69" s="62" t="s">
        <v>149</v>
      </c>
      <c r="R69" s="62" t="s">
        <v>125</v>
      </c>
      <c r="S69" s="62">
        <v>42666</v>
      </c>
      <c r="T69" s="62" t="s">
        <v>132</v>
      </c>
      <c r="U69" s="62">
        <v>42697</v>
      </c>
      <c r="V69" s="62">
        <v>42697</v>
      </c>
      <c r="W69" s="62">
        <v>42702</v>
      </c>
      <c r="Z69" s="62"/>
      <c r="AA69" s="62"/>
      <c r="AB69" s="62"/>
      <c r="AC69" s="62"/>
    </row>
    <row r="70" spans="1:29" s="121" customFormat="1" ht="60" customHeight="1" x14ac:dyDescent="0.25">
      <c r="A70" s="20">
        <v>71</v>
      </c>
      <c r="B70" s="57" t="s">
        <v>257</v>
      </c>
      <c r="C70" s="58">
        <v>1194</v>
      </c>
      <c r="D70" s="58"/>
      <c r="E70" s="22" t="s">
        <v>420</v>
      </c>
      <c r="F70" s="57"/>
      <c r="G70" s="60" t="s">
        <v>48</v>
      </c>
      <c r="H70" s="60" t="s">
        <v>29</v>
      </c>
      <c r="I70" s="61"/>
      <c r="J70" s="21" t="s">
        <v>258</v>
      </c>
      <c r="K70" s="58" t="s">
        <v>49</v>
      </c>
      <c r="L70" s="62"/>
      <c r="M70" s="62"/>
      <c r="N70" s="62">
        <v>42590</v>
      </c>
      <c r="O70" s="62">
        <v>42590</v>
      </c>
      <c r="P70" s="62">
        <v>42590</v>
      </c>
      <c r="Q70" s="62" t="s">
        <v>150</v>
      </c>
      <c r="R70" s="62" t="s">
        <v>125</v>
      </c>
      <c r="S70" s="62" t="s">
        <v>136</v>
      </c>
      <c r="T70" s="62" t="s">
        <v>132</v>
      </c>
      <c r="U70" s="62">
        <v>42697</v>
      </c>
      <c r="V70" s="62">
        <v>42697</v>
      </c>
      <c r="W70" s="62">
        <v>42370</v>
      </c>
      <c r="Z70" s="62"/>
      <c r="AA70" s="62"/>
      <c r="AB70" s="62"/>
      <c r="AC70" s="62"/>
    </row>
    <row r="71" spans="1:29" s="121" customFormat="1" ht="75" customHeight="1" x14ac:dyDescent="0.25">
      <c r="A71" s="20">
        <v>72</v>
      </c>
      <c r="B71" s="57" t="s">
        <v>257</v>
      </c>
      <c r="C71" s="58">
        <v>1195</v>
      </c>
      <c r="D71" s="58"/>
      <c r="E71" s="22" t="s">
        <v>421</v>
      </c>
      <c r="F71" s="57"/>
      <c r="G71" s="60" t="s">
        <v>48</v>
      </c>
      <c r="H71" s="60" t="s">
        <v>29</v>
      </c>
      <c r="I71" s="61"/>
      <c r="J71" s="21" t="s">
        <v>258</v>
      </c>
      <c r="K71" s="58" t="s">
        <v>49</v>
      </c>
      <c r="L71" s="62"/>
      <c r="M71" s="62"/>
      <c r="N71" s="62">
        <v>42590</v>
      </c>
      <c r="O71" s="62">
        <v>42590</v>
      </c>
      <c r="P71" s="62">
        <v>42590</v>
      </c>
      <c r="Q71" s="62" t="s">
        <v>151</v>
      </c>
      <c r="R71" s="62" t="s">
        <v>125</v>
      </c>
      <c r="S71" s="62" t="s">
        <v>58</v>
      </c>
      <c r="T71" s="62" t="s">
        <v>132</v>
      </c>
      <c r="U71" s="62">
        <v>42721</v>
      </c>
      <c r="V71" s="62">
        <v>42697</v>
      </c>
      <c r="W71" s="62">
        <v>42370</v>
      </c>
      <c r="Z71" s="62"/>
      <c r="AA71" s="62"/>
      <c r="AB71" s="62"/>
      <c r="AC71" s="62"/>
    </row>
    <row r="72" spans="1:29" s="121" customFormat="1" ht="60" customHeight="1" x14ac:dyDescent="0.25">
      <c r="A72" s="20">
        <v>73</v>
      </c>
      <c r="B72" s="57" t="s">
        <v>257</v>
      </c>
      <c r="C72" s="58">
        <v>1197</v>
      </c>
      <c r="D72" s="58"/>
      <c r="E72" s="22" t="s">
        <v>422</v>
      </c>
      <c r="F72" s="57"/>
      <c r="G72" s="60" t="s">
        <v>48</v>
      </c>
      <c r="H72" s="60" t="s">
        <v>29</v>
      </c>
      <c r="I72" s="61"/>
      <c r="J72" s="21" t="s">
        <v>258</v>
      </c>
      <c r="K72" s="58" t="s">
        <v>49</v>
      </c>
      <c r="L72" s="62"/>
      <c r="M72" s="62"/>
      <c r="N72" s="62">
        <v>42589</v>
      </c>
      <c r="O72" s="62">
        <v>42590</v>
      </c>
      <c r="P72" s="62">
        <v>42590</v>
      </c>
      <c r="Q72" s="62" t="s">
        <v>152</v>
      </c>
      <c r="R72" s="62" t="s">
        <v>125</v>
      </c>
      <c r="S72" s="62" t="s">
        <v>136</v>
      </c>
      <c r="T72" s="62" t="s">
        <v>132</v>
      </c>
      <c r="U72" s="62" t="s">
        <v>153</v>
      </c>
      <c r="V72" s="62">
        <v>42697</v>
      </c>
      <c r="W72" s="62">
        <v>42370</v>
      </c>
      <c r="Z72" s="62"/>
      <c r="AA72" s="62"/>
      <c r="AB72" s="62"/>
      <c r="AC72" s="62"/>
    </row>
    <row r="73" spans="1:29" s="121" customFormat="1" ht="30" x14ac:dyDescent="0.25">
      <c r="A73" s="20">
        <v>74</v>
      </c>
      <c r="B73" s="57" t="s">
        <v>257</v>
      </c>
      <c r="C73" s="58">
        <v>1114</v>
      </c>
      <c r="D73" s="58"/>
      <c r="E73" s="22" t="s">
        <v>423</v>
      </c>
      <c r="F73" s="57"/>
      <c r="G73" s="60" t="s">
        <v>64</v>
      </c>
      <c r="H73" s="60" t="s">
        <v>29</v>
      </c>
      <c r="I73" s="61"/>
      <c r="J73" s="21" t="s">
        <v>258</v>
      </c>
      <c r="K73" s="63" t="s">
        <v>49</v>
      </c>
      <c r="L73" s="62"/>
      <c r="M73" s="62"/>
      <c r="N73" s="62">
        <v>42676</v>
      </c>
      <c r="O73" s="62">
        <v>42478</v>
      </c>
      <c r="P73" s="62">
        <v>42486</v>
      </c>
      <c r="Q73" s="62" t="s">
        <v>154</v>
      </c>
      <c r="R73" s="62">
        <v>42515</v>
      </c>
      <c r="S73" s="62">
        <v>42523</v>
      </c>
      <c r="T73" s="62">
        <v>42684</v>
      </c>
      <c r="U73" s="62">
        <v>42719</v>
      </c>
      <c r="V73" s="62">
        <v>42721</v>
      </c>
      <c r="W73" s="62"/>
      <c r="Z73" s="62"/>
      <c r="AA73" s="62"/>
      <c r="AB73" s="62"/>
      <c r="AC73" s="62"/>
    </row>
    <row r="74" spans="1:29" s="120" customFormat="1" ht="105" customHeight="1" x14ac:dyDescent="0.25">
      <c r="A74" s="35">
        <v>75</v>
      </c>
      <c r="B74" s="53" t="s">
        <v>257</v>
      </c>
      <c r="C74" s="54">
        <v>1185</v>
      </c>
      <c r="D74" s="54"/>
      <c r="E74" s="22" t="s">
        <v>424</v>
      </c>
      <c r="F74" s="53"/>
      <c r="G74" s="55" t="s">
        <v>28</v>
      </c>
      <c r="H74" s="55" t="s">
        <v>79</v>
      </c>
      <c r="I74" s="56"/>
      <c r="J74" s="21" t="s">
        <v>258</v>
      </c>
      <c r="K74" s="66" t="s">
        <v>87</v>
      </c>
      <c r="L74" s="27"/>
      <c r="M74" s="27"/>
      <c r="N74" s="27">
        <v>42530</v>
      </c>
      <c r="O74" s="27">
        <v>42529</v>
      </c>
      <c r="P74" s="27" t="s">
        <v>155</v>
      </c>
      <c r="Q74" s="27" t="s">
        <v>156</v>
      </c>
      <c r="R74" s="27">
        <v>42436</v>
      </c>
      <c r="S74" s="27"/>
      <c r="T74" s="27">
        <v>42684</v>
      </c>
      <c r="U74" s="27"/>
      <c r="V74" s="27"/>
      <c r="W74" s="27"/>
      <c r="Z74" s="27"/>
      <c r="AA74" s="27"/>
      <c r="AB74" s="27"/>
      <c r="AC74" s="27"/>
    </row>
    <row r="75" spans="1:29" s="120" customFormat="1" ht="108" customHeight="1" x14ac:dyDescent="0.25">
      <c r="A75" s="35">
        <v>76</v>
      </c>
      <c r="B75" s="53" t="s">
        <v>257</v>
      </c>
      <c r="C75" s="54">
        <v>1186</v>
      </c>
      <c r="D75" s="54"/>
      <c r="E75" s="22" t="s">
        <v>425</v>
      </c>
      <c r="F75" s="53"/>
      <c r="G75" s="55" t="s">
        <v>28</v>
      </c>
      <c r="H75" s="55" t="s">
        <v>79</v>
      </c>
      <c r="I75" s="56"/>
      <c r="J75" s="21" t="s">
        <v>258</v>
      </c>
      <c r="K75" s="66" t="s">
        <v>87</v>
      </c>
      <c r="L75" s="27"/>
      <c r="M75" s="27"/>
      <c r="N75" s="27">
        <v>42536</v>
      </c>
      <c r="O75" s="27">
        <v>42536</v>
      </c>
      <c r="P75" s="27">
        <v>42542</v>
      </c>
      <c r="Q75" s="27" t="s">
        <v>157</v>
      </c>
      <c r="R75" s="27">
        <v>42647</v>
      </c>
      <c r="S75" s="27"/>
      <c r="T75" s="27"/>
      <c r="U75" s="27"/>
      <c r="V75" s="27"/>
      <c r="W75" s="27"/>
      <c r="Z75" s="27"/>
      <c r="AA75" s="27"/>
      <c r="AB75" s="27"/>
      <c r="AC75" s="27"/>
    </row>
    <row r="76" spans="1:29" s="120" customFormat="1" ht="30" x14ac:dyDescent="0.25">
      <c r="A76" s="20">
        <v>77</v>
      </c>
      <c r="B76" s="67" t="s">
        <v>257</v>
      </c>
      <c r="C76" s="68"/>
      <c r="D76" s="68"/>
      <c r="E76" s="22" t="s">
        <v>426</v>
      </c>
      <c r="F76" s="68"/>
      <c r="G76" s="70" t="s">
        <v>159</v>
      </c>
      <c r="H76" s="68"/>
      <c r="I76" s="69"/>
      <c r="J76" s="21" t="s">
        <v>258</v>
      </c>
      <c r="K76" s="68" t="s">
        <v>87</v>
      </c>
      <c r="L76" s="71">
        <v>42667</v>
      </c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Z76" s="27"/>
      <c r="AA76" s="27"/>
      <c r="AB76" s="27"/>
      <c r="AC76" s="27"/>
    </row>
    <row r="77" spans="1:29" s="121" customFormat="1" ht="30" customHeight="1" x14ac:dyDescent="0.25">
      <c r="A77" s="20">
        <v>78</v>
      </c>
      <c r="B77" s="57" t="s">
        <v>257</v>
      </c>
      <c r="C77" s="58" t="s">
        <v>35</v>
      </c>
      <c r="D77" s="58"/>
      <c r="E77" s="22" t="s">
        <v>427</v>
      </c>
      <c r="F77" s="58"/>
      <c r="G77" s="72" t="s">
        <v>48</v>
      </c>
      <c r="H77" s="60" t="s">
        <v>29</v>
      </c>
      <c r="I77" s="61"/>
      <c r="J77" s="21" t="s">
        <v>258</v>
      </c>
      <c r="K77" s="73" t="s">
        <v>49</v>
      </c>
      <c r="L77" s="74"/>
      <c r="M77" s="75"/>
      <c r="N77" s="62">
        <v>42744</v>
      </c>
      <c r="O77" s="62">
        <v>42744</v>
      </c>
      <c r="P77" s="62">
        <v>42741</v>
      </c>
      <c r="Q77" s="62" t="s">
        <v>160</v>
      </c>
      <c r="R77" s="62">
        <v>42745</v>
      </c>
      <c r="S77" s="62">
        <v>42755</v>
      </c>
      <c r="T77" s="62">
        <v>42781</v>
      </c>
      <c r="U77" s="62">
        <v>42791</v>
      </c>
      <c r="V77" s="62">
        <v>42784</v>
      </c>
      <c r="W77" s="62">
        <v>42793</v>
      </c>
    </row>
    <row r="78" spans="1:29" s="121" customFormat="1" ht="30" customHeight="1" x14ac:dyDescent="0.25">
      <c r="A78" s="20">
        <v>79</v>
      </c>
      <c r="B78" s="57" t="s">
        <v>257</v>
      </c>
      <c r="C78" s="58" t="s">
        <v>37</v>
      </c>
      <c r="D78" s="58"/>
      <c r="E78" s="22" t="s">
        <v>428</v>
      </c>
      <c r="F78" s="58"/>
      <c r="G78" s="72" t="s">
        <v>48</v>
      </c>
      <c r="H78" s="60" t="s">
        <v>29</v>
      </c>
      <c r="I78" s="61"/>
      <c r="J78" s="21" t="s">
        <v>258</v>
      </c>
      <c r="K78" s="73" t="s">
        <v>49</v>
      </c>
      <c r="L78" s="74"/>
      <c r="M78" s="75"/>
      <c r="N78" s="62">
        <v>42744</v>
      </c>
      <c r="O78" s="62">
        <v>42744</v>
      </c>
      <c r="P78" s="62">
        <v>42741</v>
      </c>
      <c r="Q78" s="62" t="s">
        <v>161</v>
      </c>
      <c r="R78" s="62">
        <v>42745</v>
      </c>
      <c r="S78" s="62">
        <v>42755</v>
      </c>
      <c r="T78" s="62">
        <v>42781</v>
      </c>
      <c r="U78" s="62">
        <v>42791</v>
      </c>
      <c r="V78" s="62">
        <v>42784</v>
      </c>
      <c r="W78" s="62">
        <v>42793</v>
      </c>
    </row>
    <row r="79" spans="1:29" s="121" customFormat="1" ht="30" customHeight="1" x14ac:dyDescent="0.25">
      <c r="A79" s="35">
        <v>80</v>
      </c>
      <c r="B79" s="57" t="s">
        <v>257</v>
      </c>
      <c r="C79" s="58" t="s">
        <v>39</v>
      </c>
      <c r="D79" s="58"/>
      <c r="E79" s="22" t="s">
        <v>429</v>
      </c>
      <c r="F79" s="58"/>
      <c r="G79" s="72" t="s">
        <v>48</v>
      </c>
      <c r="H79" s="60" t="s">
        <v>29</v>
      </c>
      <c r="I79" s="61"/>
      <c r="J79" s="21" t="s">
        <v>258</v>
      </c>
      <c r="K79" s="73" t="s">
        <v>49</v>
      </c>
      <c r="L79" s="74"/>
      <c r="M79" s="75"/>
      <c r="N79" s="62">
        <v>42744</v>
      </c>
      <c r="O79" s="62">
        <v>42744</v>
      </c>
      <c r="P79" s="62">
        <v>42741</v>
      </c>
      <c r="Q79" s="62" t="s">
        <v>162</v>
      </c>
      <c r="R79" s="62">
        <v>42745</v>
      </c>
      <c r="S79" s="62">
        <v>42753</v>
      </c>
      <c r="T79" s="62">
        <v>42781</v>
      </c>
      <c r="U79" s="62">
        <v>42791</v>
      </c>
      <c r="V79" s="62">
        <v>42784</v>
      </c>
      <c r="W79" s="62">
        <v>42793</v>
      </c>
    </row>
    <row r="80" spans="1:29" s="121" customFormat="1" ht="33.75" customHeight="1" x14ac:dyDescent="0.25">
      <c r="A80" s="35">
        <v>81</v>
      </c>
      <c r="B80" s="57" t="s">
        <v>257</v>
      </c>
      <c r="C80" s="58">
        <v>1129</v>
      </c>
      <c r="D80" s="58"/>
      <c r="E80" s="22" t="s">
        <v>430</v>
      </c>
      <c r="F80" s="58"/>
      <c r="G80" s="60" t="s">
        <v>55</v>
      </c>
      <c r="H80" s="60" t="s">
        <v>29</v>
      </c>
      <c r="I80" s="61"/>
      <c r="J80" s="21" t="s">
        <v>258</v>
      </c>
      <c r="K80" s="58" t="s">
        <v>49</v>
      </c>
      <c r="L80" s="62" t="s">
        <v>56</v>
      </c>
      <c r="M80" s="62" t="s">
        <v>56</v>
      </c>
      <c r="N80" s="62">
        <v>42642</v>
      </c>
      <c r="O80" s="62">
        <v>42642</v>
      </c>
      <c r="P80" s="62">
        <v>42653</v>
      </c>
      <c r="Q80" s="62" t="s">
        <v>163</v>
      </c>
      <c r="R80" s="62" t="s">
        <v>58</v>
      </c>
      <c r="S80" s="62">
        <v>42669</v>
      </c>
      <c r="T80" s="62">
        <v>42757</v>
      </c>
      <c r="U80" s="62">
        <v>42774</v>
      </c>
      <c r="V80" s="62">
        <v>42769</v>
      </c>
      <c r="W80" s="62"/>
      <c r="Z80" s="62"/>
      <c r="AA80" s="62"/>
      <c r="AB80" s="62"/>
      <c r="AC80" s="62"/>
    </row>
    <row r="81" spans="1:29" s="121" customFormat="1" ht="36.75" customHeight="1" x14ac:dyDescent="0.25">
      <c r="A81" s="35">
        <v>82</v>
      </c>
      <c r="B81" s="57" t="s">
        <v>257</v>
      </c>
      <c r="C81" s="58">
        <v>1001</v>
      </c>
      <c r="D81" s="58"/>
      <c r="E81" s="22" t="s">
        <v>431</v>
      </c>
      <c r="F81" s="58"/>
      <c r="G81" s="60" t="s">
        <v>55</v>
      </c>
      <c r="H81" s="60" t="s">
        <v>116</v>
      </c>
      <c r="I81" s="61"/>
      <c r="J81" s="21" t="s">
        <v>258</v>
      </c>
      <c r="K81" s="58" t="s">
        <v>49</v>
      </c>
      <c r="L81" s="62" t="s">
        <v>56</v>
      </c>
      <c r="M81" s="62" t="s">
        <v>56</v>
      </c>
      <c r="N81" s="62">
        <v>42642</v>
      </c>
      <c r="O81" s="62">
        <v>42642</v>
      </c>
      <c r="P81" s="62">
        <v>42653</v>
      </c>
      <c r="Q81" s="62" t="s">
        <v>164</v>
      </c>
      <c r="R81" s="62" t="s">
        <v>58</v>
      </c>
      <c r="S81" s="62">
        <v>42669</v>
      </c>
      <c r="T81" s="62">
        <v>42781</v>
      </c>
      <c r="U81" s="62">
        <v>42789</v>
      </c>
      <c r="V81" s="62">
        <v>42787</v>
      </c>
      <c r="W81" s="62"/>
      <c r="Z81" s="62"/>
      <c r="AA81" s="62"/>
      <c r="AB81" s="62"/>
      <c r="AC81" s="62"/>
    </row>
    <row r="82" spans="1:29" s="121" customFormat="1" ht="30" customHeight="1" x14ac:dyDescent="0.25">
      <c r="A82" s="20">
        <v>83</v>
      </c>
      <c r="B82" s="57" t="s">
        <v>257</v>
      </c>
      <c r="C82" s="58">
        <v>1004</v>
      </c>
      <c r="D82" s="58"/>
      <c r="E82" s="22" t="s">
        <v>432</v>
      </c>
      <c r="F82" s="58"/>
      <c r="G82" s="60" t="s">
        <v>64</v>
      </c>
      <c r="H82" s="60" t="s">
        <v>29</v>
      </c>
      <c r="I82" s="61"/>
      <c r="J82" s="21" t="s">
        <v>258</v>
      </c>
      <c r="K82" s="58" t="s">
        <v>49</v>
      </c>
      <c r="L82" s="62" t="s">
        <v>56</v>
      </c>
      <c r="M82" s="62" t="s">
        <v>56</v>
      </c>
      <c r="N82" s="62">
        <v>42656</v>
      </c>
      <c r="O82" s="62">
        <v>42656</v>
      </c>
      <c r="P82" s="62" t="s">
        <v>126</v>
      </c>
      <c r="Q82" s="62" t="s">
        <v>165</v>
      </c>
      <c r="R82" s="62" t="s">
        <v>100</v>
      </c>
      <c r="S82" s="62">
        <v>42675</v>
      </c>
      <c r="T82" s="62">
        <v>42731</v>
      </c>
      <c r="U82" s="62">
        <v>42740</v>
      </c>
      <c r="V82" s="62">
        <v>42740</v>
      </c>
      <c r="W82" s="62"/>
      <c r="Z82" s="62"/>
      <c r="AA82" s="62"/>
      <c r="AB82" s="62"/>
      <c r="AC82" s="62"/>
    </row>
    <row r="83" spans="1:29" s="120" customFormat="1" ht="75" customHeight="1" x14ac:dyDescent="0.25">
      <c r="A83" s="20">
        <v>84</v>
      </c>
      <c r="B83" s="67" t="s">
        <v>257</v>
      </c>
      <c r="C83" s="68" t="s">
        <v>166</v>
      </c>
      <c r="D83" s="68"/>
      <c r="E83" s="22" t="s">
        <v>433</v>
      </c>
      <c r="F83" s="68"/>
      <c r="G83" s="70" t="s">
        <v>28</v>
      </c>
      <c r="H83" s="76" t="s">
        <v>79</v>
      </c>
      <c r="I83" s="69"/>
      <c r="J83" s="21" t="s">
        <v>258</v>
      </c>
      <c r="K83" s="77" t="s">
        <v>87</v>
      </c>
      <c r="L83" s="78"/>
      <c r="M83" s="79"/>
      <c r="N83" s="71">
        <v>42765</v>
      </c>
      <c r="O83" s="71">
        <v>42765</v>
      </c>
      <c r="P83" s="71">
        <v>42765</v>
      </c>
      <c r="Q83" s="71"/>
      <c r="R83" s="71"/>
      <c r="S83" s="71"/>
      <c r="T83" s="71"/>
      <c r="U83" s="71"/>
      <c r="V83" s="71"/>
      <c r="W83" s="71"/>
      <c r="Z83" s="27"/>
      <c r="AA83" s="27"/>
      <c r="AB83" s="27"/>
      <c r="AC83" s="27"/>
    </row>
    <row r="84" spans="1:29" s="120" customFormat="1" ht="30" customHeight="1" x14ac:dyDescent="0.25">
      <c r="A84" s="20">
        <v>85</v>
      </c>
      <c r="B84" s="53" t="s">
        <v>257</v>
      </c>
      <c r="C84" s="80" t="s">
        <v>263</v>
      </c>
      <c r="D84" s="54"/>
      <c r="E84" s="22" t="s">
        <v>434</v>
      </c>
      <c r="F84" s="53"/>
      <c r="G84" s="55" t="s">
        <v>48</v>
      </c>
      <c r="H84" s="55" t="s">
        <v>29</v>
      </c>
      <c r="I84" s="56"/>
      <c r="J84" s="21" t="s">
        <v>258</v>
      </c>
      <c r="K84" s="54" t="s">
        <v>87</v>
      </c>
      <c r="L84" s="27" t="s">
        <v>167</v>
      </c>
      <c r="M84" s="27">
        <v>42530</v>
      </c>
      <c r="N84" s="27">
        <v>42611</v>
      </c>
      <c r="O84" s="27">
        <v>42612</v>
      </c>
      <c r="P84" s="27"/>
      <c r="Q84" s="27"/>
      <c r="R84" s="27"/>
      <c r="S84" s="27"/>
      <c r="T84" s="27"/>
      <c r="U84" s="27"/>
      <c r="V84" s="27"/>
      <c r="W84" s="27"/>
      <c r="Z84" s="27"/>
      <c r="AA84" s="27"/>
      <c r="AB84" s="27"/>
      <c r="AC84" s="27"/>
    </row>
    <row r="85" spans="1:29" s="121" customFormat="1" ht="60" customHeight="1" x14ac:dyDescent="0.25">
      <c r="A85" s="35">
        <v>86</v>
      </c>
      <c r="B85" s="81" t="s">
        <v>257</v>
      </c>
      <c r="C85" s="82">
        <v>1001</v>
      </c>
      <c r="D85" s="82"/>
      <c r="E85" s="22" t="s">
        <v>435</v>
      </c>
      <c r="F85" s="82"/>
      <c r="G85" s="83" t="s">
        <v>55</v>
      </c>
      <c r="H85" s="83" t="s">
        <v>29</v>
      </c>
      <c r="I85" s="84"/>
      <c r="J85" s="21" t="s">
        <v>258</v>
      </c>
      <c r="K85" s="85" t="s">
        <v>49</v>
      </c>
      <c r="L85" s="86"/>
      <c r="M85" s="86"/>
      <c r="N85" s="86">
        <v>42683</v>
      </c>
      <c r="O85" s="86">
        <v>42683</v>
      </c>
      <c r="P85" s="86">
        <v>42684</v>
      </c>
      <c r="Q85" s="86" t="s">
        <v>168</v>
      </c>
      <c r="R85" s="86">
        <v>42694</v>
      </c>
      <c r="S85" s="86">
        <v>42698</v>
      </c>
      <c r="T85" s="86">
        <v>42765</v>
      </c>
      <c r="U85" s="86">
        <v>42778</v>
      </c>
      <c r="V85" s="86">
        <v>42774</v>
      </c>
      <c r="W85" s="86"/>
      <c r="Z85" s="86"/>
      <c r="AA85" s="86"/>
      <c r="AB85" s="86"/>
      <c r="AC85" s="86"/>
    </row>
    <row r="86" spans="1:29" s="122" customFormat="1" ht="30" customHeight="1" x14ac:dyDescent="0.25">
      <c r="A86" s="87">
        <v>87</v>
      </c>
      <c r="B86" s="88" t="s">
        <v>257</v>
      </c>
      <c r="C86" s="89">
        <v>1198</v>
      </c>
      <c r="D86" s="90"/>
      <c r="E86" s="22" t="s">
        <v>436</v>
      </c>
      <c r="F86" s="90"/>
      <c r="G86" s="91" t="s">
        <v>28</v>
      </c>
      <c r="H86" s="91" t="s">
        <v>29</v>
      </c>
      <c r="I86" s="92"/>
      <c r="J86" s="21" t="s">
        <v>258</v>
      </c>
      <c r="K86" s="93" t="s">
        <v>45</v>
      </c>
      <c r="L86" s="94"/>
      <c r="M86" s="94"/>
      <c r="N86" s="95"/>
      <c r="O86" s="95">
        <v>42813</v>
      </c>
      <c r="P86" s="95">
        <v>42813</v>
      </c>
      <c r="Q86" s="95"/>
      <c r="R86" s="95"/>
      <c r="S86" s="95"/>
      <c r="T86" s="95"/>
      <c r="U86" s="95"/>
      <c r="V86" s="94"/>
      <c r="W86" s="94"/>
      <c r="Z86" s="27"/>
      <c r="AA86" s="27"/>
      <c r="AB86" s="27"/>
      <c r="AC86" s="27"/>
    </row>
    <row r="87" spans="1:29" s="122" customFormat="1" ht="30" x14ac:dyDescent="0.25">
      <c r="A87" s="87">
        <v>88</v>
      </c>
      <c r="B87" s="88" t="s">
        <v>257</v>
      </c>
      <c r="C87" s="89" t="s">
        <v>169</v>
      </c>
      <c r="D87" s="90"/>
      <c r="E87" s="22" t="s">
        <v>437</v>
      </c>
      <c r="F87" s="90"/>
      <c r="G87" s="91" t="s">
        <v>28</v>
      </c>
      <c r="H87" s="91" t="s">
        <v>79</v>
      </c>
      <c r="I87" s="92"/>
      <c r="J87" s="21" t="s">
        <v>258</v>
      </c>
      <c r="K87" s="93" t="s">
        <v>45</v>
      </c>
      <c r="L87" s="94"/>
      <c r="M87" s="94"/>
      <c r="N87" s="95"/>
      <c r="O87" s="95">
        <v>42810</v>
      </c>
      <c r="P87" s="95">
        <v>42810</v>
      </c>
      <c r="Q87" s="312" t="s">
        <v>170</v>
      </c>
      <c r="R87" s="95">
        <v>42823</v>
      </c>
      <c r="S87" s="95"/>
      <c r="T87" s="95"/>
      <c r="U87" s="95"/>
      <c r="V87" s="94"/>
      <c r="W87" s="94"/>
      <c r="Z87" s="95"/>
      <c r="AA87" s="95"/>
      <c r="AB87" s="95"/>
      <c r="AC87" s="95"/>
    </row>
    <row r="88" spans="1:29" s="123" customFormat="1" ht="45" customHeight="1" x14ac:dyDescent="0.25">
      <c r="A88" s="96">
        <v>89</v>
      </c>
      <c r="B88" s="97" t="s">
        <v>257</v>
      </c>
      <c r="C88" s="98" t="s">
        <v>171</v>
      </c>
      <c r="D88" s="98"/>
      <c r="E88" s="22" t="s">
        <v>438</v>
      </c>
      <c r="F88" s="98"/>
      <c r="G88" s="99" t="s">
        <v>48</v>
      </c>
      <c r="H88" s="99" t="s">
        <v>79</v>
      </c>
      <c r="I88" s="69"/>
      <c r="J88" s="21" t="s">
        <v>258</v>
      </c>
      <c r="K88" s="100" t="s">
        <v>87</v>
      </c>
      <c r="L88" s="101"/>
      <c r="M88" s="101"/>
      <c r="N88" s="101"/>
      <c r="O88" s="71">
        <v>42814</v>
      </c>
      <c r="P88" s="101"/>
      <c r="Q88" s="101"/>
      <c r="R88" s="101"/>
      <c r="S88" s="101"/>
      <c r="T88" s="101"/>
      <c r="U88" s="101"/>
      <c r="V88" s="101"/>
      <c r="W88" s="101"/>
      <c r="Z88" s="102"/>
      <c r="AA88" s="102"/>
      <c r="AB88" s="102"/>
      <c r="AC88" s="102"/>
    </row>
    <row r="89" spans="1:29" s="301" customFormat="1" ht="45" customHeight="1" x14ac:dyDescent="0.25">
      <c r="A89" s="295">
        <v>90</v>
      </c>
      <c r="B89" s="296" t="s">
        <v>257</v>
      </c>
      <c r="C89" s="297" t="s">
        <v>172</v>
      </c>
      <c r="D89" s="297"/>
      <c r="E89" s="22" t="s">
        <v>439</v>
      </c>
      <c r="F89" s="297"/>
      <c r="G89" s="298" t="s">
        <v>48</v>
      </c>
      <c r="H89" s="298" t="s">
        <v>79</v>
      </c>
      <c r="I89" s="69"/>
      <c r="J89" s="21" t="s">
        <v>258</v>
      </c>
      <c r="K89" s="299" t="s">
        <v>45</v>
      </c>
      <c r="L89" s="300"/>
      <c r="M89" s="300"/>
      <c r="N89" s="300"/>
      <c r="O89" s="71">
        <v>42814</v>
      </c>
      <c r="P89" s="300"/>
      <c r="Q89" s="300"/>
      <c r="R89" s="300"/>
      <c r="S89" s="300"/>
      <c r="T89" s="300"/>
      <c r="U89" s="300"/>
      <c r="V89" s="300"/>
      <c r="W89" s="300"/>
      <c r="Z89" s="302"/>
      <c r="AA89" s="302"/>
      <c r="AB89" s="302"/>
      <c r="AC89" s="302"/>
    </row>
    <row r="90" spans="1:29" s="309" customFormat="1" ht="45" customHeight="1" x14ac:dyDescent="0.25">
      <c r="A90" s="303">
        <v>91</v>
      </c>
      <c r="B90" s="304" t="s">
        <v>257</v>
      </c>
      <c r="C90" s="305" t="s">
        <v>173</v>
      </c>
      <c r="D90" s="305"/>
      <c r="E90" s="22" t="s">
        <v>440</v>
      </c>
      <c r="F90" s="305"/>
      <c r="G90" s="306" t="s">
        <v>28</v>
      </c>
      <c r="H90" s="306" t="s">
        <v>29</v>
      </c>
      <c r="I90" s="22"/>
      <c r="J90" s="21" t="s">
        <v>258</v>
      </c>
      <c r="K90" s="307" t="s">
        <v>45</v>
      </c>
      <c r="L90" s="308"/>
      <c r="M90" s="308"/>
      <c r="N90" s="308"/>
      <c r="O90" s="26">
        <v>42827</v>
      </c>
      <c r="P90" s="308"/>
      <c r="Q90" s="308"/>
      <c r="R90" s="308"/>
      <c r="S90" s="308"/>
      <c r="T90" s="308"/>
      <c r="U90" s="308"/>
      <c r="V90" s="308"/>
      <c r="W90" s="308"/>
      <c r="Z90" s="114"/>
      <c r="AA90" s="114"/>
      <c r="AB90" s="114"/>
      <c r="AC90" s="114"/>
    </row>
    <row r="91" spans="1:29" s="310" customFormat="1" ht="30" x14ac:dyDescent="0.25">
      <c r="A91" s="303">
        <v>99</v>
      </c>
      <c r="B91" s="304" t="s">
        <v>257</v>
      </c>
      <c r="C91" s="305">
        <v>1005</v>
      </c>
      <c r="D91" s="305"/>
      <c r="E91" s="22" t="s">
        <v>441</v>
      </c>
      <c r="F91" s="305"/>
      <c r="G91" s="306" t="s">
        <v>64</v>
      </c>
      <c r="H91" s="306" t="s">
        <v>29</v>
      </c>
      <c r="I91" s="22"/>
      <c r="J91" s="21" t="s">
        <v>258</v>
      </c>
      <c r="K91" s="307"/>
      <c r="L91" s="308"/>
      <c r="M91" s="308"/>
      <c r="N91" s="308"/>
      <c r="O91" s="26"/>
      <c r="P91" s="308"/>
      <c r="Q91" s="308"/>
      <c r="R91" s="308"/>
      <c r="S91" s="308"/>
      <c r="T91" s="308"/>
      <c r="U91" s="308"/>
      <c r="V91" s="308"/>
      <c r="W91" s="308"/>
      <c r="X91" s="309"/>
      <c r="Z91" s="114"/>
      <c r="AA91" s="114"/>
      <c r="AB91" s="114"/>
      <c r="AC91" s="114"/>
    </row>
    <row r="92" spans="1:29" s="124" customFormat="1" ht="46.5" customHeight="1" x14ac:dyDescent="0.25">
      <c r="A92" s="103"/>
      <c r="B92" s="104"/>
      <c r="C92" s="105"/>
      <c r="D92" s="106"/>
      <c r="E92" s="107"/>
      <c r="F92" s="106"/>
      <c r="G92" s="108"/>
      <c r="H92" s="108"/>
      <c r="I92" s="109"/>
      <c r="J92" s="105"/>
      <c r="K92" s="110"/>
      <c r="L92" s="111"/>
      <c r="M92" s="111"/>
      <c r="N92" s="112"/>
      <c r="O92" s="112"/>
      <c r="P92" s="112"/>
      <c r="Q92" s="112"/>
      <c r="R92" s="112"/>
      <c r="S92" s="112"/>
      <c r="T92" s="112"/>
      <c r="U92" s="112"/>
      <c r="V92" s="111"/>
      <c r="W92" s="111"/>
      <c r="Z92" s="113"/>
      <c r="AA92" s="113"/>
      <c r="AB92" s="113"/>
      <c r="AC92" s="113"/>
    </row>
  </sheetData>
  <dataValidations count="5">
    <dataValidation type="date" errorStyle="warning" operator="greaterThan" allowBlank="1" showInputMessage="1" showErrorMessage="1" error="ONLY DATES" prompt="ONLY DATES" sqref="N1:N11 N13:N1048576">
      <formula1>36526</formula1>
    </dataValidation>
    <dataValidation type="date" errorStyle="warning" operator="greaterThan" allowBlank="1" showInputMessage="1" showErrorMessage="1" error="ONLY DATES" prompt="ONLY DATES AS FORMAT_x000a_01-JAN-2016" sqref="N12:P12 O1:P11 O13:P1048576 R1:W1048576">
      <formula1>36526</formula1>
    </dataValidation>
    <dataValidation type="list" allowBlank="1" showInputMessage="1" showErrorMessage="1" sqref="H1:H1048576">
      <formula1>#REF!</formula1>
    </dataValidation>
    <dataValidation type="list" allowBlank="1" showInputMessage="1" showErrorMessage="1" sqref="K1:K1048576">
      <formula1>#REF!</formula1>
    </dataValidation>
    <dataValidation type="list" allowBlank="1" showInputMessage="1" showErrorMessage="1" sqref="G1:G1048576">
      <formula1>#REF!</formula1>
    </dataValidation>
  </dataValidations>
  <pageMargins left="0.25" right="0.25" top="0.75" bottom="0.75" header="0.3" footer="0.3"/>
  <pageSetup paperSize="154" scale="71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C125"/>
  <sheetViews>
    <sheetView showGridLines="0" zoomScale="85" zoomScaleNormal="85" workbookViewId="0">
      <pane ySplit="1" topLeftCell="A2" activePane="bottomLeft" state="frozenSplit"/>
      <selection activeCell="L85" sqref="L85 L85"/>
      <selection pane="bottomLeft" activeCell="E114" sqref="E114"/>
    </sheetView>
  </sheetViews>
  <sheetFormatPr defaultColWidth="13.42578125" defaultRowHeight="12.75" x14ac:dyDescent="0.2"/>
  <cols>
    <col min="1" max="1" width="11.7109375" style="125" bestFit="1" customWidth="1"/>
    <col min="2" max="2" width="12.140625" style="125" bestFit="1" customWidth="1"/>
    <col min="3" max="3" width="16.5703125" style="163" bestFit="1" customWidth="1"/>
    <col min="4" max="4" width="12" style="163" customWidth="1"/>
    <col min="5" max="5" width="37.42578125" style="125" bestFit="1" customWidth="1"/>
    <col min="6" max="6" width="11.85546875" style="191" bestFit="1" customWidth="1"/>
    <col min="7" max="8" width="13.28515625" style="191" bestFit="1" customWidth="1"/>
    <col min="9" max="9" width="31.85546875" style="125" customWidth="1"/>
    <col min="10" max="10" width="13.140625" style="191" bestFit="1" customWidth="1"/>
    <col min="11" max="11" width="18.140625" style="125" bestFit="1" customWidth="1"/>
    <col min="12" max="12" width="20" style="163" bestFit="1" customWidth="1"/>
    <col min="13" max="13" width="19.5703125" style="163" bestFit="1" customWidth="1"/>
    <col min="14" max="14" width="17.5703125" style="192" bestFit="1" customWidth="1"/>
    <col min="15" max="15" width="12.85546875" style="193" bestFit="1" customWidth="1"/>
    <col min="16" max="16" width="14.28515625" style="193" bestFit="1" customWidth="1"/>
    <col min="17" max="17" width="16" style="193" bestFit="1" customWidth="1"/>
    <col min="18" max="18" width="15.42578125" style="193" bestFit="1" customWidth="1"/>
    <col min="19" max="19" width="18.42578125" style="193" bestFit="1" customWidth="1"/>
    <col min="20" max="22" width="18" style="193" bestFit="1" customWidth="1"/>
    <col min="23" max="23" width="16.42578125" style="192" bestFit="1" customWidth="1"/>
    <col min="24" max="25" width="13.42578125" style="125" customWidth="1"/>
    <col min="26" max="26" width="13.28515625" style="194" bestFit="1" customWidth="1"/>
    <col min="27" max="27" width="15.5703125" style="194" bestFit="1" customWidth="1"/>
    <col min="28" max="28" width="9.7109375" style="194" bestFit="1" customWidth="1"/>
    <col min="29" max="29" width="14.5703125" style="194" bestFit="1" customWidth="1"/>
    <col min="30" max="30" width="13.42578125" style="125" customWidth="1"/>
    <col min="31" max="16384" width="13.42578125" style="125"/>
  </cols>
  <sheetData>
    <row r="1" spans="1:29" customFormat="1" ht="25.5" customHeight="1" x14ac:dyDescent="0.25">
      <c r="A1" s="134" t="s">
        <v>0</v>
      </c>
      <c r="B1" s="134" t="s">
        <v>1</v>
      </c>
      <c r="C1" s="135" t="s">
        <v>2</v>
      </c>
      <c r="D1" s="135" t="s">
        <v>175</v>
      </c>
      <c r="E1" s="134" t="s">
        <v>4</v>
      </c>
      <c r="F1" s="134" t="s">
        <v>5</v>
      </c>
      <c r="G1" s="136" t="s">
        <v>6</v>
      </c>
      <c r="H1" s="134" t="s">
        <v>7</v>
      </c>
      <c r="I1" s="134" t="s">
        <v>8</v>
      </c>
      <c r="J1" s="134" t="s">
        <v>9</v>
      </c>
      <c r="K1" s="137" t="s">
        <v>10</v>
      </c>
      <c r="L1" s="135" t="s">
        <v>11</v>
      </c>
      <c r="M1" s="135" t="s">
        <v>12</v>
      </c>
      <c r="N1" s="134" t="s">
        <v>13</v>
      </c>
      <c r="O1" s="134" t="s">
        <v>14</v>
      </c>
      <c r="P1" s="134" t="s">
        <v>15</v>
      </c>
      <c r="Q1" s="134" t="s">
        <v>16</v>
      </c>
      <c r="R1" s="134" t="s">
        <v>17</v>
      </c>
      <c r="S1" s="134" t="s">
        <v>18</v>
      </c>
      <c r="T1" s="134" t="s">
        <v>19</v>
      </c>
      <c r="U1" s="138" t="s">
        <v>20</v>
      </c>
      <c r="V1" s="138" t="s">
        <v>21</v>
      </c>
      <c r="W1" s="138" t="s">
        <v>22</v>
      </c>
      <c r="Z1" s="139" t="s">
        <v>24</v>
      </c>
      <c r="AA1" s="139" t="s">
        <v>25</v>
      </c>
      <c r="AB1" s="139" t="s">
        <v>26</v>
      </c>
      <c r="AC1" s="139" t="s">
        <v>27</v>
      </c>
    </row>
    <row r="2" spans="1:29" x14ac:dyDescent="0.2">
      <c r="A2" s="127">
        <v>89</v>
      </c>
      <c r="B2" s="140" t="s">
        <v>264</v>
      </c>
      <c r="C2" s="141" t="s">
        <v>176</v>
      </c>
      <c r="D2" s="141"/>
      <c r="E2" s="142" t="s">
        <v>352</v>
      </c>
      <c r="F2" s="140"/>
      <c r="G2" s="140" t="s">
        <v>64</v>
      </c>
      <c r="H2" s="143" t="s">
        <v>29</v>
      </c>
      <c r="I2" s="142"/>
      <c r="J2" s="129" t="s">
        <v>351</v>
      </c>
      <c r="K2" s="145" t="s">
        <v>45</v>
      </c>
      <c r="L2" s="146">
        <v>42401</v>
      </c>
      <c r="M2" s="146">
        <v>42401</v>
      </c>
      <c r="N2" s="146">
        <v>42386</v>
      </c>
      <c r="O2" s="146">
        <v>42386</v>
      </c>
      <c r="P2" s="146">
        <v>42386</v>
      </c>
      <c r="Q2" s="140" t="s">
        <v>265</v>
      </c>
      <c r="R2" s="146">
        <v>42393</v>
      </c>
      <c r="S2" s="146"/>
      <c r="T2" s="146"/>
      <c r="U2" s="146"/>
      <c r="V2" s="146"/>
      <c r="W2" s="146"/>
      <c r="Z2" s="133"/>
      <c r="AA2" s="133"/>
      <c r="AB2" s="133"/>
      <c r="AC2" s="133"/>
    </row>
    <row r="3" spans="1:29" x14ac:dyDescent="0.2">
      <c r="A3" s="127">
        <v>1</v>
      </c>
      <c r="B3" s="127" t="s">
        <v>264</v>
      </c>
      <c r="C3" s="129"/>
      <c r="D3" s="128"/>
      <c r="E3" s="142" t="s">
        <v>353</v>
      </c>
      <c r="F3" s="129"/>
      <c r="G3" s="129" t="s">
        <v>64</v>
      </c>
      <c r="H3" s="129" t="s">
        <v>79</v>
      </c>
      <c r="I3" s="130"/>
      <c r="J3" s="129" t="s">
        <v>351</v>
      </c>
      <c r="K3" s="130" t="s">
        <v>40</v>
      </c>
      <c r="L3" s="126"/>
      <c r="M3" s="128"/>
      <c r="N3" s="132">
        <v>42710</v>
      </c>
      <c r="O3" s="132">
        <v>42710</v>
      </c>
      <c r="P3" s="132">
        <v>42711</v>
      </c>
      <c r="Q3" s="132" t="s">
        <v>266</v>
      </c>
      <c r="R3" s="132">
        <v>42722</v>
      </c>
      <c r="S3" s="132">
        <v>42724</v>
      </c>
      <c r="T3" s="132">
        <v>42818</v>
      </c>
      <c r="U3" s="132">
        <v>42839</v>
      </c>
      <c r="V3" s="132"/>
      <c r="W3" s="131"/>
      <c r="Z3" s="133"/>
      <c r="AA3" s="133"/>
      <c r="AB3" s="133"/>
      <c r="AC3" s="133"/>
    </row>
    <row r="4" spans="1:29" s="195" customFormat="1" ht="25.5" customHeight="1" x14ac:dyDescent="0.2">
      <c r="A4" s="127">
        <v>2</v>
      </c>
      <c r="B4" s="148" t="s">
        <v>264</v>
      </c>
      <c r="C4" s="149"/>
      <c r="D4" s="149"/>
      <c r="E4" s="142" t="s">
        <v>354</v>
      </c>
      <c r="F4" s="148"/>
      <c r="G4" s="148" t="s">
        <v>64</v>
      </c>
      <c r="H4" s="148" t="s">
        <v>29</v>
      </c>
      <c r="I4" s="147"/>
      <c r="J4" s="129" t="s">
        <v>351</v>
      </c>
      <c r="K4" s="151" t="s">
        <v>177</v>
      </c>
      <c r="L4" s="149"/>
      <c r="M4" s="149"/>
      <c r="N4" s="152">
        <v>42690</v>
      </c>
      <c r="O4" s="152">
        <v>42690</v>
      </c>
      <c r="P4" s="152">
        <v>42691</v>
      </c>
      <c r="Q4" s="150" t="s">
        <v>267</v>
      </c>
      <c r="R4" s="152">
        <v>42703</v>
      </c>
      <c r="S4" s="152">
        <v>42793</v>
      </c>
      <c r="T4" s="152">
        <v>42850</v>
      </c>
      <c r="U4" s="152">
        <v>42860</v>
      </c>
      <c r="V4" s="152"/>
      <c r="W4" s="152"/>
      <c r="Z4" s="133"/>
      <c r="AA4" s="133"/>
      <c r="AB4" s="133"/>
      <c r="AC4" s="133"/>
    </row>
    <row r="5" spans="1:29" x14ac:dyDescent="0.2">
      <c r="A5" s="127">
        <v>3</v>
      </c>
      <c r="B5" s="127" t="s">
        <v>264</v>
      </c>
      <c r="C5" s="153"/>
      <c r="D5" s="153"/>
      <c r="E5" s="142" t="s">
        <v>355</v>
      </c>
      <c r="F5" s="127"/>
      <c r="G5" s="127" t="s">
        <v>64</v>
      </c>
      <c r="H5" s="127" t="s">
        <v>44</v>
      </c>
      <c r="I5" s="147"/>
      <c r="J5" s="129" t="s">
        <v>351</v>
      </c>
      <c r="K5" s="130" t="s">
        <v>45</v>
      </c>
      <c r="L5" s="131"/>
      <c r="M5" s="131"/>
      <c r="N5" s="155">
        <v>42737</v>
      </c>
      <c r="O5" s="155">
        <v>42737</v>
      </c>
      <c r="P5" s="155">
        <v>42716</v>
      </c>
      <c r="Q5" s="154" t="s">
        <v>268</v>
      </c>
      <c r="R5" s="155">
        <v>42744</v>
      </c>
      <c r="S5" s="155"/>
      <c r="T5" s="155"/>
      <c r="U5" s="132"/>
      <c r="V5" s="132"/>
      <c r="W5" s="131"/>
      <c r="Z5" s="133"/>
      <c r="AA5" s="133"/>
      <c r="AB5" s="133"/>
      <c r="AC5" s="133"/>
    </row>
    <row r="6" spans="1:29" x14ac:dyDescent="0.2">
      <c r="A6" s="127">
        <v>4</v>
      </c>
      <c r="B6" s="127" t="s">
        <v>264</v>
      </c>
      <c r="C6" s="153"/>
      <c r="D6" s="153"/>
      <c r="E6" s="142" t="s">
        <v>356</v>
      </c>
      <c r="F6" s="127"/>
      <c r="G6" s="127" t="s">
        <v>64</v>
      </c>
      <c r="H6" s="127" t="s">
        <v>44</v>
      </c>
      <c r="I6" s="147"/>
      <c r="J6" s="129" t="s">
        <v>351</v>
      </c>
      <c r="K6" s="156" t="s">
        <v>40</v>
      </c>
      <c r="L6" s="131"/>
      <c r="M6" s="131"/>
      <c r="N6" s="155">
        <v>42738</v>
      </c>
      <c r="O6" s="155">
        <v>42738</v>
      </c>
      <c r="P6" s="155">
        <v>42738</v>
      </c>
      <c r="Q6" s="154" t="s">
        <v>269</v>
      </c>
      <c r="R6" s="155">
        <v>42744</v>
      </c>
      <c r="S6" s="155">
        <v>42759</v>
      </c>
      <c r="T6" s="155">
        <v>42824</v>
      </c>
      <c r="U6" s="157">
        <v>42843</v>
      </c>
      <c r="V6" s="132"/>
      <c r="W6" s="131"/>
      <c r="Z6" s="133"/>
      <c r="AA6" s="133"/>
      <c r="AB6" s="133"/>
      <c r="AC6" s="133"/>
    </row>
    <row r="7" spans="1:29" customFormat="1" ht="25.5" customHeight="1" x14ac:dyDescent="0.25">
      <c r="A7" s="127">
        <v>5</v>
      </c>
      <c r="B7" s="127" t="s">
        <v>264</v>
      </c>
      <c r="C7" s="128"/>
      <c r="D7" s="128"/>
      <c r="E7" s="142" t="s">
        <v>357</v>
      </c>
      <c r="F7" s="129"/>
      <c r="G7" s="129" t="s">
        <v>64</v>
      </c>
      <c r="H7" s="129" t="s">
        <v>29</v>
      </c>
      <c r="I7" s="147"/>
      <c r="J7" s="129" t="s">
        <v>351</v>
      </c>
      <c r="K7" s="130" t="s">
        <v>177</v>
      </c>
      <c r="L7" s="126"/>
      <c r="M7" s="126"/>
      <c r="N7" s="157">
        <v>42747</v>
      </c>
      <c r="O7" s="157">
        <v>42747</v>
      </c>
      <c r="P7" s="157">
        <v>42750</v>
      </c>
      <c r="Q7" s="157" t="s">
        <v>270</v>
      </c>
      <c r="R7" s="157">
        <v>42757</v>
      </c>
      <c r="S7" s="132">
        <v>42795</v>
      </c>
      <c r="T7" s="132">
        <v>42849</v>
      </c>
      <c r="U7" s="132">
        <v>42859</v>
      </c>
      <c r="V7" s="132"/>
      <c r="W7" s="131"/>
      <c r="Z7" s="133"/>
      <c r="AA7" s="133"/>
      <c r="AB7" s="133"/>
      <c r="AC7" s="133"/>
    </row>
    <row r="8" spans="1:29" customFormat="1" ht="25.5" customHeight="1" x14ac:dyDescent="0.25">
      <c r="A8" s="127">
        <v>6</v>
      </c>
      <c r="B8" s="127" t="s">
        <v>264</v>
      </c>
      <c r="C8" s="128"/>
      <c r="D8" s="128"/>
      <c r="E8" s="142" t="s">
        <v>358</v>
      </c>
      <c r="F8" s="129"/>
      <c r="G8" s="129" t="s">
        <v>64</v>
      </c>
      <c r="H8" s="129" t="s">
        <v>29</v>
      </c>
      <c r="I8" s="147"/>
      <c r="J8" s="129" t="s">
        <v>351</v>
      </c>
      <c r="K8" s="156" t="s">
        <v>177</v>
      </c>
      <c r="L8" s="159"/>
      <c r="M8" s="159"/>
      <c r="N8" s="157">
        <v>42747</v>
      </c>
      <c r="O8" s="157">
        <v>42747</v>
      </c>
      <c r="P8" s="157">
        <v>42754</v>
      </c>
      <c r="Q8" s="157" t="s">
        <v>271</v>
      </c>
      <c r="R8" s="157">
        <v>42757</v>
      </c>
      <c r="S8" s="157">
        <v>42794</v>
      </c>
      <c r="T8" s="157">
        <v>42843</v>
      </c>
      <c r="U8" s="157">
        <v>42853</v>
      </c>
      <c r="V8" s="132"/>
      <c r="W8" s="131"/>
      <c r="Z8" s="133"/>
      <c r="AA8" s="133"/>
      <c r="AB8" s="133"/>
      <c r="AC8" s="133"/>
    </row>
    <row r="9" spans="1:29" customFormat="1" ht="25.5" customHeight="1" x14ac:dyDescent="0.25">
      <c r="A9" s="127">
        <v>7</v>
      </c>
      <c r="B9" s="127" t="s">
        <v>264</v>
      </c>
      <c r="C9" s="153"/>
      <c r="D9" s="153"/>
      <c r="E9" s="142" t="s">
        <v>359</v>
      </c>
      <c r="F9" s="127"/>
      <c r="G9" s="127" t="s">
        <v>64</v>
      </c>
      <c r="H9" s="127" t="s">
        <v>29</v>
      </c>
      <c r="I9" s="147"/>
      <c r="J9" s="129" t="s">
        <v>351</v>
      </c>
      <c r="K9" s="156" t="s">
        <v>49</v>
      </c>
      <c r="L9" s="131"/>
      <c r="M9" s="131"/>
      <c r="N9" s="155">
        <v>42738</v>
      </c>
      <c r="O9" s="155">
        <v>42738</v>
      </c>
      <c r="P9" s="155">
        <v>42739</v>
      </c>
      <c r="Q9" s="154" t="s">
        <v>272</v>
      </c>
      <c r="R9" s="155">
        <v>42745</v>
      </c>
      <c r="S9" s="155">
        <v>42767</v>
      </c>
      <c r="T9" s="155">
        <v>42809</v>
      </c>
      <c r="U9" s="157">
        <v>42819</v>
      </c>
      <c r="V9" s="157">
        <v>42815</v>
      </c>
      <c r="W9" s="131"/>
      <c r="Z9" s="133"/>
      <c r="AA9" s="133"/>
      <c r="AB9" s="133"/>
      <c r="AC9" s="133"/>
    </row>
    <row r="10" spans="1:29" customFormat="1" ht="25.5" customHeight="1" x14ac:dyDescent="0.25">
      <c r="A10" s="127">
        <v>8</v>
      </c>
      <c r="B10" s="127" t="s">
        <v>264</v>
      </c>
      <c r="C10" s="153"/>
      <c r="D10" s="153"/>
      <c r="E10" s="142" t="s">
        <v>360</v>
      </c>
      <c r="F10" s="127"/>
      <c r="G10" s="127" t="s">
        <v>64</v>
      </c>
      <c r="H10" s="127" t="s">
        <v>29</v>
      </c>
      <c r="I10" s="147"/>
      <c r="J10" s="129" t="s">
        <v>351</v>
      </c>
      <c r="K10" s="160" t="s">
        <v>177</v>
      </c>
      <c r="L10" s="131"/>
      <c r="M10" s="131"/>
      <c r="N10" s="155">
        <v>42766</v>
      </c>
      <c r="O10" s="155">
        <v>42766</v>
      </c>
      <c r="P10" s="155">
        <v>42766</v>
      </c>
      <c r="Q10" s="154" t="s">
        <v>273</v>
      </c>
      <c r="R10" s="155">
        <v>42775</v>
      </c>
      <c r="S10" s="155">
        <v>42786</v>
      </c>
      <c r="T10" s="155">
        <v>42835</v>
      </c>
      <c r="U10" s="157">
        <v>42845</v>
      </c>
      <c r="V10" s="132"/>
      <c r="W10" s="131"/>
      <c r="Z10" s="133"/>
      <c r="AA10" s="133"/>
      <c r="AB10" s="133"/>
      <c r="AC10" s="133"/>
    </row>
    <row r="11" spans="1:29" x14ac:dyDescent="0.2">
      <c r="A11" s="127">
        <v>9</v>
      </c>
      <c r="B11" s="127" t="s">
        <v>264</v>
      </c>
      <c r="C11" s="153"/>
      <c r="D11" s="153"/>
      <c r="E11" s="142" t="s">
        <v>361</v>
      </c>
      <c r="F11" s="127"/>
      <c r="G11" s="127" t="s">
        <v>64</v>
      </c>
      <c r="H11" s="127" t="s">
        <v>29</v>
      </c>
      <c r="I11" s="156"/>
      <c r="J11" s="129" t="s">
        <v>351</v>
      </c>
      <c r="K11" s="156" t="s">
        <v>40</v>
      </c>
      <c r="L11" s="131"/>
      <c r="M11" s="131"/>
      <c r="N11" s="155">
        <v>42745</v>
      </c>
      <c r="O11" s="155">
        <v>42745</v>
      </c>
      <c r="P11" s="155">
        <v>42745</v>
      </c>
      <c r="Q11" s="154" t="s">
        <v>274</v>
      </c>
      <c r="R11" s="155">
        <v>42751</v>
      </c>
      <c r="S11" s="155">
        <v>42772</v>
      </c>
      <c r="T11" s="155">
        <v>42813</v>
      </c>
      <c r="U11" s="157">
        <v>42850</v>
      </c>
      <c r="V11" s="132"/>
      <c r="W11" s="131"/>
      <c r="Z11" s="133"/>
      <c r="AA11" s="133"/>
      <c r="AB11" s="133"/>
      <c r="AC11" s="133"/>
    </row>
    <row r="12" spans="1:29" x14ac:dyDescent="0.2">
      <c r="A12" s="127">
        <v>10</v>
      </c>
      <c r="B12" s="127" t="s">
        <v>264</v>
      </c>
      <c r="C12" s="153"/>
      <c r="D12" s="153"/>
      <c r="E12" s="142" t="s">
        <v>362</v>
      </c>
      <c r="F12" s="127"/>
      <c r="G12" s="127" t="s">
        <v>64</v>
      </c>
      <c r="H12" s="127" t="s">
        <v>29</v>
      </c>
      <c r="I12" s="156"/>
      <c r="J12" s="129" t="s">
        <v>351</v>
      </c>
      <c r="K12" s="156" t="s">
        <v>177</v>
      </c>
      <c r="L12" s="131"/>
      <c r="M12" s="131"/>
      <c r="N12" s="155">
        <v>42745</v>
      </c>
      <c r="O12" s="155">
        <v>42745</v>
      </c>
      <c r="P12" s="155">
        <v>42745</v>
      </c>
      <c r="Q12" s="154" t="s">
        <v>275</v>
      </c>
      <c r="R12" s="155">
        <v>42751</v>
      </c>
      <c r="S12" s="155">
        <v>42761</v>
      </c>
      <c r="T12" s="155">
        <v>42834</v>
      </c>
      <c r="U12" s="157">
        <v>42844</v>
      </c>
      <c r="V12" s="132"/>
      <c r="W12" s="131"/>
      <c r="Z12" s="133"/>
      <c r="AA12" s="133"/>
      <c r="AB12" s="133"/>
      <c r="AC12" s="133"/>
    </row>
    <row r="13" spans="1:29" customFormat="1" ht="25.5" customHeight="1" x14ac:dyDescent="0.25">
      <c r="A13" s="127">
        <v>11</v>
      </c>
      <c r="B13" s="127" t="s">
        <v>264</v>
      </c>
      <c r="C13" s="153"/>
      <c r="D13" s="153"/>
      <c r="E13" s="142" t="s">
        <v>363</v>
      </c>
      <c r="F13" s="127"/>
      <c r="G13" s="127" t="s">
        <v>64</v>
      </c>
      <c r="H13" s="127" t="s">
        <v>29</v>
      </c>
      <c r="I13" s="147"/>
      <c r="J13" s="129" t="s">
        <v>351</v>
      </c>
      <c r="K13" s="160" t="s">
        <v>177</v>
      </c>
      <c r="L13" s="131"/>
      <c r="M13" s="131"/>
      <c r="N13" s="155">
        <v>42766</v>
      </c>
      <c r="O13" s="155">
        <v>42766</v>
      </c>
      <c r="P13" s="155">
        <v>42767</v>
      </c>
      <c r="Q13" s="154" t="s">
        <v>276</v>
      </c>
      <c r="R13" s="155">
        <v>42775</v>
      </c>
      <c r="S13" s="155">
        <v>42786</v>
      </c>
      <c r="T13" s="155">
        <v>42835</v>
      </c>
      <c r="U13" s="157">
        <v>42845</v>
      </c>
      <c r="V13" s="132"/>
      <c r="W13" s="131"/>
      <c r="Z13" s="133"/>
      <c r="AA13" s="133"/>
      <c r="AB13" s="133"/>
      <c r="AC13" s="133"/>
    </row>
    <row r="14" spans="1:29" s="121" customFormat="1" ht="90" customHeight="1" x14ac:dyDescent="0.25">
      <c r="A14" s="161">
        <v>50</v>
      </c>
      <c r="B14" s="57" t="s">
        <v>257</v>
      </c>
      <c r="C14" s="58">
        <v>1196</v>
      </c>
      <c r="D14" s="58" t="s">
        <v>105</v>
      </c>
      <c r="E14" s="142" t="s">
        <v>364</v>
      </c>
      <c r="F14" s="57"/>
      <c r="G14" s="60" t="s">
        <v>48</v>
      </c>
      <c r="H14" s="60" t="s">
        <v>29</v>
      </c>
      <c r="I14" s="61"/>
      <c r="J14" s="129" t="s">
        <v>351</v>
      </c>
      <c r="K14" s="58" t="s">
        <v>49</v>
      </c>
      <c r="L14" s="62"/>
      <c r="M14" s="62"/>
      <c r="N14" s="62">
        <v>42589</v>
      </c>
      <c r="O14" s="62">
        <v>42590</v>
      </c>
      <c r="P14" s="62">
        <v>42590</v>
      </c>
      <c r="Q14" s="62" t="s">
        <v>178</v>
      </c>
      <c r="R14" s="62" t="s">
        <v>125</v>
      </c>
      <c r="S14" s="62">
        <v>42650</v>
      </c>
      <c r="T14" s="62">
        <v>42719</v>
      </c>
      <c r="U14" s="62">
        <v>42732</v>
      </c>
      <c r="V14" s="62">
        <v>42731</v>
      </c>
      <c r="W14" s="62"/>
      <c r="Z14" s="62"/>
      <c r="AA14" s="62"/>
      <c r="AB14" s="62"/>
      <c r="AC14" s="62"/>
    </row>
    <row r="15" spans="1:29" s="121" customFormat="1" ht="90" customHeight="1" x14ac:dyDescent="0.25">
      <c r="A15" s="162">
        <v>48</v>
      </c>
      <c r="B15" s="57" t="s">
        <v>257</v>
      </c>
      <c r="C15" s="58" t="s">
        <v>277</v>
      </c>
      <c r="D15" s="58" t="s">
        <v>105</v>
      </c>
      <c r="E15" s="142" t="s">
        <v>365</v>
      </c>
      <c r="F15" s="57"/>
      <c r="G15" s="60" t="s">
        <v>48</v>
      </c>
      <c r="H15" s="60" t="s">
        <v>29</v>
      </c>
      <c r="I15" s="61"/>
      <c r="J15" s="129" t="s">
        <v>351</v>
      </c>
      <c r="K15" s="58" t="s">
        <v>49</v>
      </c>
      <c r="L15" s="62"/>
      <c r="M15" s="62"/>
      <c r="N15" s="62">
        <v>42590</v>
      </c>
      <c r="O15" s="62">
        <v>42590</v>
      </c>
      <c r="P15" s="62">
        <v>42590</v>
      </c>
      <c r="Q15" s="62" t="s">
        <v>179</v>
      </c>
      <c r="R15" s="62" t="s">
        <v>125</v>
      </c>
      <c r="S15" s="62">
        <v>42669</v>
      </c>
      <c r="T15" s="62">
        <v>42719</v>
      </c>
      <c r="U15" s="62">
        <v>42732</v>
      </c>
      <c r="V15" s="62">
        <v>42731</v>
      </c>
      <c r="W15" s="62"/>
      <c r="Z15" s="62"/>
      <c r="AA15" s="62"/>
      <c r="AB15" s="62"/>
      <c r="AC15" s="62"/>
    </row>
    <row r="16" spans="1:29" x14ac:dyDescent="0.2">
      <c r="A16" s="127"/>
      <c r="B16" s="127" t="s">
        <v>264</v>
      </c>
      <c r="C16" s="153"/>
      <c r="D16" s="153"/>
      <c r="E16" s="142" t="s">
        <v>366</v>
      </c>
      <c r="F16" s="127"/>
      <c r="G16" s="127" t="s">
        <v>48</v>
      </c>
      <c r="H16" s="127" t="s">
        <v>29</v>
      </c>
      <c r="I16" s="147"/>
      <c r="J16" s="129" t="s">
        <v>351</v>
      </c>
      <c r="K16" s="160" t="s">
        <v>177</v>
      </c>
      <c r="L16" s="131"/>
      <c r="M16" s="131"/>
      <c r="N16" s="131"/>
      <c r="O16" s="164">
        <v>42691</v>
      </c>
      <c r="P16" s="155">
        <v>42691</v>
      </c>
      <c r="Q16" s="154" t="s">
        <v>278</v>
      </c>
      <c r="R16" s="155">
        <v>42807</v>
      </c>
      <c r="S16" s="155">
        <v>42819</v>
      </c>
      <c r="T16" s="155">
        <v>42847</v>
      </c>
      <c r="U16" s="157">
        <v>42857</v>
      </c>
      <c r="V16" s="132"/>
      <c r="W16" s="131"/>
      <c r="Z16" s="133"/>
      <c r="AA16" s="133"/>
      <c r="AB16" s="133"/>
      <c r="AC16" s="133"/>
    </row>
    <row r="17" spans="1:29" x14ac:dyDescent="0.2">
      <c r="A17" s="127">
        <v>12</v>
      </c>
      <c r="B17" s="127" t="s">
        <v>264</v>
      </c>
      <c r="C17" s="153">
        <v>-10061</v>
      </c>
      <c r="D17" s="153"/>
      <c r="E17" s="142" t="s">
        <v>367</v>
      </c>
      <c r="F17" s="127"/>
      <c r="G17" s="127" t="s">
        <v>48</v>
      </c>
      <c r="H17" s="127" t="s">
        <v>79</v>
      </c>
      <c r="I17" s="147"/>
      <c r="J17" s="129" t="s">
        <v>351</v>
      </c>
      <c r="K17" s="160" t="s">
        <v>177</v>
      </c>
      <c r="L17" s="131"/>
      <c r="M17" s="131"/>
      <c r="N17" s="155">
        <v>42802</v>
      </c>
      <c r="O17" s="155">
        <v>42802</v>
      </c>
      <c r="P17" s="155">
        <v>42802</v>
      </c>
      <c r="Q17" s="154" t="s">
        <v>180</v>
      </c>
      <c r="R17" s="155">
        <v>42802</v>
      </c>
      <c r="S17" s="155">
        <v>42812</v>
      </c>
      <c r="T17" s="155">
        <v>42838</v>
      </c>
      <c r="U17" s="157">
        <v>42848</v>
      </c>
      <c r="V17" s="132"/>
      <c r="W17" s="131"/>
      <c r="Z17" s="133"/>
      <c r="AA17" s="133"/>
      <c r="AB17" s="133"/>
      <c r="AC17" s="133"/>
    </row>
    <row r="18" spans="1:29" x14ac:dyDescent="0.2">
      <c r="A18" s="127">
        <v>14</v>
      </c>
      <c r="B18" s="127" t="s">
        <v>264</v>
      </c>
      <c r="C18" s="153" t="s">
        <v>181</v>
      </c>
      <c r="D18" s="153"/>
      <c r="E18" s="142" t="s">
        <v>368</v>
      </c>
      <c r="F18" s="127"/>
      <c r="G18" s="127" t="s">
        <v>48</v>
      </c>
      <c r="H18" s="127" t="s">
        <v>29</v>
      </c>
      <c r="I18" s="147"/>
      <c r="J18" s="129" t="s">
        <v>351</v>
      </c>
      <c r="K18" s="130" t="s">
        <v>182</v>
      </c>
      <c r="L18" s="131">
        <v>42689</v>
      </c>
      <c r="M18" s="131">
        <v>42324</v>
      </c>
      <c r="N18" s="131">
        <v>42701</v>
      </c>
      <c r="O18" s="155">
        <v>42724</v>
      </c>
      <c r="P18" s="155">
        <v>42359</v>
      </c>
      <c r="Q18" s="154"/>
      <c r="R18" s="155">
        <v>42359</v>
      </c>
      <c r="S18" s="155">
        <v>42360</v>
      </c>
      <c r="T18" s="155">
        <v>42361</v>
      </c>
      <c r="U18" s="132">
        <v>42800</v>
      </c>
      <c r="V18" s="132">
        <v>42803</v>
      </c>
      <c r="W18" s="131">
        <v>42821</v>
      </c>
      <c r="Z18" s="133"/>
      <c r="AA18" s="133"/>
      <c r="AB18" s="133"/>
      <c r="AC18" s="133"/>
    </row>
    <row r="19" spans="1:29" x14ac:dyDescent="0.2">
      <c r="A19" s="127">
        <v>15</v>
      </c>
      <c r="B19" s="127" t="s">
        <v>264</v>
      </c>
      <c r="C19" s="153"/>
      <c r="D19" s="153"/>
      <c r="E19" s="142" t="s">
        <v>369</v>
      </c>
      <c r="F19" s="127"/>
      <c r="G19" s="127" t="s">
        <v>48</v>
      </c>
      <c r="H19" s="127" t="s">
        <v>29</v>
      </c>
      <c r="I19" s="147"/>
      <c r="J19" s="129" t="s">
        <v>351</v>
      </c>
      <c r="K19" s="130" t="s">
        <v>49</v>
      </c>
      <c r="L19" s="131"/>
      <c r="M19" s="131"/>
      <c r="N19" s="131">
        <v>42771</v>
      </c>
      <c r="O19" s="155">
        <v>42771</v>
      </c>
      <c r="P19" s="155">
        <v>42772</v>
      </c>
      <c r="Q19" s="154"/>
      <c r="R19" s="155">
        <v>42771</v>
      </c>
      <c r="S19" s="155">
        <v>42772</v>
      </c>
      <c r="T19" s="155">
        <v>42773</v>
      </c>
      <c r="U19" s="132">
        <v>42803</v>
      </c>
      <c r="V19" s="132">
        <v>42803</v>
      </c>
      <c r="W19" s="131"/>
      <c r="Z19" s="133"/>
      <c r="AA19" s="133"/>
      <c r="AB19" s="133"/>
      <c r="AC19" s="133"/>
    </row>
    <row r="20" spans="1:29" x14ac:dyDescent="0.2">
      <c r="A20" s="127">
        <v>16</v>
      </c>
      <c r="B20" s="127" t="s">
        <v>264</v>
      </c>
      <c r="C20" s="129" t="s">
        <v>183</v>
      </c>
      <c r="D20" s="153"/>
      <c r="E20" s="142" t="s">
        <v>370</v>
      </c>
      <c r="F20" s="127"/>
      <c r="G20" s="127" t="s">
        <v>48</v>
      </c>
      <c r="H20" s="127" t="s">
        <v>29</v>
      </c>
      <c r="I20" s="147"/>
      <c r="J20" s="129" t="s">
        <v>351</v>
      </c>
      <c r="K20" s="130" t="s">
        <v>182</v>
      </c>
      <c r="L20" s="131">
        <v>42689</v>
      </c>
      <c r="M20" s="131">
        <v>42324</v>
      </c>
      <c r="N20" s="131">
        <v>42701</v>
      </c>
      <c r="O20" s="155">
        <v>42724</v>
      </c>
      <c r="P20" s="155">
        <v>42359</v>
      </c>
      <c r="Q20" s="154"/>
      <c r="R20" s="155">
        <v>42359</v>
      </c>
      <c r="S20" s="155">
        <v>42359</v>
      </c>
      <c r="T20" s="155">
        <v>42359</v>
      </c>
      <c r="U20" s="132">
        <v>42800</v>
      </c>
      <c r="V20" s="132">
        <v>42803</v>
      </c>
      <c r="W20" s="131">
        <v>42821</v>
      </c>
      <c r="Z20" s="133"/>
      <c r="AA20" s="133"/>
      <c r="AB20" s="133"/>
      <c r="AC20" s="133"/>
    </row>
    <row r="21" spans="1:29" customFormat="1" ht="25.5" customHeight="1" x14ac:dyDescent="0.25">
      <c r="A21" s="127">
        <v>17</v>
      </c>
      <c r="B21" s="127" t="s">
        <v>264</v>
      </c>
      <c r="C21" s="129">
        <v>20076</v>
      </c>
      <c r="D21" s="153" t="s">
        <v>158</v>
      </c>
      <c r="E21" s="142" t="s">
        <v>371</v>
      </c>
      <c r="F21" s="127"/>
      <c r="G21" s="127" t="s">
        <v>48</v>
      </c>
      <c r="H21" s="127" t="s">
        <v>29</v>
      </c>
      <c r="I21" s="147"/>
      <c r="J21" s="129" t="s">
        <v>351</v>
      </c>
      <c r="K21" s="156" t="s">
        <v>182</v>
      </c>
      <c r="L21" s="131"/>
      <c r="M21" s="131"/>
      <c r="N21" s="155">
        <v>42764</v>
      </c>
      <c r="O21" s="155">
        <v>42764</v>
      </c>
      <c r="P21" s="155">
        <v>42764</v>
      </c>
      <c r="Q21" s="154" t="s">
        <v>279</v>
      </c>
      <c r="R21" s="155">
        <v>42773</v>
      </c>
      <c r="S21" s="155">
        <v>42774</v>
      </c>
      <c r="T21" s="155">
        <v>42811</v>
      </c>
      <c r="U21" s="157">
        <v>42814</v>
      </c>
      <c r="V21" s="157">
        <v>42813</v>
      </c>
      <c r="W21" s="131">
        <v>42823</v>
      </c>
      <c r="Z21" s="133"/>
      <c r="AA21" s="133"/>
      <c r="AB21" s="133"/>
      <c r="AC21" s="133"/>
    </row>
    <row r="22" spans="1:29" customFormat="1" ht="25.5" customHeight="1" x14ac:dyDescent="0.25">
      <c r="A22" s="127">
        <v>18</v>
      </c>
      <c r="B22" s="127" t="s">
        <v>264</v>
      </c>
      <c r="C22" s="128"/>
      <c r="D22" s="128"/>
      <c r="E22" s="142" t="s">
        <v>372</v>
      </c>
      <c r="F22" s="129"/>
      <c r="G22" s="158" t="s">
        <v>28</v>
      </c>
      <c r="H22" s="129" t="s">
        <v>29</v>
      </c>
      <c r="I22" s="147"/>
      <c r="J22" s="129" t="s">
        <v>351</v>
      </c>
      <c r="K22" s="156" t="s">
        <v>40</v>
      </c>
      <c r="L22" s="126"/>
      <c r="M22" s="126"/>
      <c r="N22" s="157">
        <v>42751</v>
      </c>
      <c r="O22" s="157">
        <v>42751</v>
      </c>
      <c r="P22" s="157">
        <v>42752</v>
      </c>
      <c r="Q22" s="157" t="s">
        <v>280</v>
      </c>
      <c r="R22" s="157">
        <v>42757</v>
      </c>
      <c r="S22" s="155">
        <v>42768</v>
      </c>
      <c r="T22" s="155">
        <v>42808</v>
      </c>
      <c r="U22" s="157">
        <v>42849</v>
      </c>
      <c r="V22" s="132"/>
      <c r="W22" s="131"/>
      <c r="Z22" s="133"/>
      <c r="AA22" s="133"/>
      <c r="AB22" s="133"/>
      <c r="AC22" s="133"/>
    </row>
    <row r="23" spans="1:29" x14ac:dyDescent="0.2">
      <c r="A23" s="127">
        <v>19</v>
      </c>
      <c r="B23" s="127" t="s">
        <v>264</v>
      </c>
      <c r="C23" s="128"/>
      <c r="D23" s="128"/>
      <c r="E23" s="142" t="s">
        <v>373</v>
      </c>
      <c r="F23" s="129"/>
      <c r="G23" s="158" t="s">
        <v>64</v>
      </c>
      <c r="H23" s="129" t="s">
        <v>29</v>
      </c>
      <c r="I23" s="147"/>
      <c r="J23" s="129" t="s">
        <v>351</v>
      </c>
      <c r="K23" s="156" t="s">
        <v>71</v>
      </c>
      <c r="L23" s="126"/>
      <c r="M23" s="126"/>
      <c r="N23" s="157">
        <v>42751</v>
      </c>
      <c r="O23" s="157">
        <v>42751</v>
      </c>
      <c r="P23" s="157">
        <v>42752</v>
      </c>
      <c r="Q23" s="157" t="s">
        <v>281</v>
      </c>
      <c r="R23" s="157">
        <v>42757</v>
      </c>
      <c r="S23" s="155"/>
      <c r="T23" s="155"/>
      <c r="U23" s="157"/>
      <c r="V23" s="132"/>
      <c r="W23" s="131"/>
      <c r="Z23" s="133"/>
      <c r="AA23" s="133"/>
      <c r="AB23" s="133"/>
      <c r="AC23" s="133"/>
    </row>
    <row r="24" spans="1:29" x14ac:dyDescent="0.2">
      <c r="A24" s="127">
        <v>20</v>
      </c>
      <c r="B24" s="127" t="s">
        <v>264</v>
      </c>
      <c r="C24" s="153"/>
      <c r="D24" s="153"/>
      <c r="E24" s="142" t="s">
        <v>374</v>
      </c>
      <c r="F24" s="127"/>
      <c r="G24" s="127" t="s">
        <v>64</v>
      </c>
      <c r="H24" s="127" t="s">
        <v>29</v>
      </c>
      <c r="I24" s="147"/>
      <c r="J24" s="129" t="s">
        <v>351</v>
      </c>
      <c r="K24" s="130" t="s">
        <v>71</v>
      </c>
      <c r="L24" s="153"/>
      <c r="M24" s="153"/>
      <c r="N24" s="155">
        <v>42690</v>
      </c>
      <c r="O24" s="155">
        <v>42690</v>
      </c>
      <c r="P24" s="155">
        <v>42691</v>
      </c>
      <c r="Q24" s="154" t="s">
        <v>282</v>
      </c>
      <c r="R24" s="155">
        <v>42710</v>
      </c>
      <c r="S24" s="155">
        <v>42730</v>
      </c>
      <c r="T24" s="155"/>
      <c r="U24" s="155"/>
      <c r="V24" s="155"/>
      <c r="W24" s="155"/>
      <c r="Z24" s="133"/>
      <c r="AA24" s="133"/>
      <c r="AB24" s="133"/>
      <c r="AC24" s="133"/>
    </row>
    <row r="25" spans="1:29" x14ac:dyDescent="0.2">
      <c r="A25" s="127">
        <v>21</v>
      </c>
      <c r="B25" s="127" t="s">
        <v>264</v>
      </c>
      <c r="C25" s="129" t="s">
        <v>184</v>
      </c>
      <c r="D25" s="128"/>
      <c r="E25" s="142" t="s">
        <v>375</v>
      </c>
      <c r="F25" s="129"/>
      <c r="G25" s="129" t="s">
        <v>28</v>
      </c>
      <c r="H25" s="129" t="s">
        <v>29</v>
      </c>
      <c r="I25" s="130"/>
      <c r="J25" s="129" t="s">
        <v>351</v>
      </c>
      <c r="K25" s="130" t="s">
        <v>185</v>
      </c>
      <c r="L25" s="126" t="s">
        <v>186</v>
      </c>
      <c r="M25" s="128" t="s">
        <v>132</v>
      </c>
      <c r="N25" s="131" t="s">
        <v>174</v>
      </c>
      <c r="O25" s="132">
        <v>42705</v>
      </c>
      <c r="P25" s="132">
        <v>42708</v>
      </c>
      <c r="Q25" s="132" t="s">
        <v>283</v>
      </c>
      <c r="R25" s="132">
        <v>42722</v>
      </c>
      <c r="S25" s="132">
        <v>42745</v>
      </c>
      <c r="T25" s="132">
        <v>42792</v>
      </c>
      <c r="U25" s="132">
        <v>42830</v>
      </c>
      <c r="V25" s="132"/>
      <c r="W25" s="131"/>
      <c r="Z25" s="133"/>
      <c r="AA25" s="133"/>
      <c r="AB25" s="133"/>
      <c r="AC25" s="133"/>
    </row>
    <row r="26" spans="1:29" customFormat="1" ht="25.5" customHeight="1" x14ac:dyDescent="0.25">
      <c r="A26" s="127">
        <v>22</v>
      </c>
      <c r="B26" s="127" t="s">
        <v>264</v>
      </c>
      <c r="C26" s="129"/>
      <c r="D26" s="128"/>
      <c r="E26" s="142" t="s">
        <v>376</v>
      </c>
      <c r="F26" s="129"/>
      <c r="G26" s="129" t="s">
        <v>64</v>
      </c>
      <c r="H26" s="129" t="s">
        <v>29</v>
      </c>
      <c r="I26" s="156"/>
      <c r="J26" s="129" t="s">
        <v>351</v>
      </c>
      <c r="K26" s="156" t="s">
        <v>71</v>
      </c>
      <c r="L26" s="126"/>
      <c r="M26" s="128"/>
      <c r="N26" s="131"/>
      <c r="O26" s="157">
        <v>42705</v>
      </c>
      <c r="P26" s="157">
        <v>42708</v>
      </c>
      <c r="Q26" s="157" t="s">
        <v>284</v>
      </c>
      <c r="R26" s="157">
        <v>42722</v>
      </c>
      <c r="S26" s="132"/>
      <c r="T26" s="132"/>
      <c r="U26" s="132"/>
      <c r="V26" s="132"/>
      <c r="W26" s="131"/>
      <c r="Z26" s="133"/>
      <c r="AA26" s="133"/>
      <c r="AB26" s="133"/>
      <c r="AC26" s="133"/>
    </row>
    <row r="27" spans="1:29" customFormat="1" ht="25.5" customHeight="1" x14ac:dyDescent="0.25">
      <c r="A27" s="127">
        <v>23</v>
      </c>
      <c r="B27" s="127" t="s">
        <v>264</v>
      </c>
      <c r="C27" s="153"/>
      <c r="D27" s="153"/>
      <c r="E27" s="142" t="s">
        <v>377</v>
      </c>
      <c r="F27" s="127"/>
      <c r="G27" s="127" t="s">
        <v>28</v>
      </c>
      <c r="H27" s="127" t="s">
        <v>29</v>
      </c>
      <c r="I27" s="147"/>
      <c r="J27" s="129" t="s">
        <v>351</v>
      </c>
      <c r="K27" s="160" t="s">
        <v>30</v>
      </c>
      <c r="L27" s="131"/>
      <c r="M27" s="131"/>
      <c r="N27" s="155">
        <v>42766</v>
      </c>
      <c r="O27" s="155">
        <v>42766</v>
      </c>
      <c r="P27" s="155">
        <v>42767</v>
      </c>
      <c r="Q27" s="154" t="s">
        <v>285</v>
      </c>
      <c r="R27" s="155">
        <v>42778</v>
      </c>
      <c r="S27" s="155">
        <v>42788</v>
      </c>
      <c r="T27" s="155">
        <v>42825</v>
      </c>
      <c r="U27" s="157"/>
      <c r="V27" s="132"/>
      <c r="W27" s="131"/>
      <c r="Z27" s="133"/>
      <c r="AA27" s="133"/>
      <c r="AB27" s="133"/>
      <c r="AC27" s="133"/>
    </row>
    <row r="28" spans="1:29" customFormat="1" ht="25.5" customHeight="1" x14ac:dyDescent="0.25">
      <c r="A28" s="127">
        <v>24</v>
      </c>
      <c r="B28" s="127" t="s">
        <v>264</v>
      </c>
      <c r="C28" s="153"/>
      <c r="D28" s="153"/>
      <c r="E28" s="142" t="s">
        <v>378</v>
      </c>
      <c r="F28" s="127"/>
      <c r="G28" s="127" t="s">
        <v>28</v>
      </c>
      <c r="H28" s="127" t="s">
        <v>29</v>
      </c>
      <c r="I28" s="147"/>
      <c r="J28" s="129" t="s">
        <v>351</v>
      </c>
      <c r="K28" s="160" t="s">
        <v>49</v>
      </c>
      <c r="L28" s="131"/>
      <c r="M28" s="131"/>
      <c r="N28" s="155">
        <v>42766</v>
      </c>
      <c r="O28" s="155">
        <v>42766</v>
      </c>
      <c r="P28" s="155">
        <v>42767</v>
      </c>
      <c r="Q28" s="154" t="s">
        <v>286</v>
      </c>
      <c r="R28" s="155">
        <v>42778</v>
      </c>
      <c r="S28" s="155">
        <v>42788</v>
      </c>
      <c r="T28" s="155">
        <v>42816</v>
      </c>
      <c r="U28" s="157">
        <v>42827</v>
      </c>
      <c r="V28" s="132">
        <v>42826</v>
      </c>
      <c r="W28" s="131"/>
      <c r="Z28" s="133"/>
      <c r="AA28" s="133"/>
      <c r="AB28" s="133"/>
      <c r="AC28" s="133"/>
    </row>
    <row r="29" spans="1:29" x14ac:dyDescent="0.2">
      <c r="A29" s="127">
        <v>25</v>
      </c>
      <c r="B29" s="127" t="s">
        <v>264</v>
      </c>
      <c r="C29" s="153"/>
      <c r="D29" s="153"/>
      <c r="E29" s="142" t="s">
        <v>379</v>
      </c>
      <c r="F29" s="127"/>
      <c r="G29" s="127" t="s">
        <v>28</v>
      </c>
      <c r="H29" s="127" t="s">
        <v>29</v>
      </c>
      <c r="I29" s="147"/>
      <c r="J29" s="129" t="s">
        <v>351</v>
      </c>
      <c r="K29" s="160" t="s">
        <v>49</v>
      </c>
      <c r="L29" s="131"/>
      <c r="M29" s="131"/>
      <c r="N29" s="164">
        <v>42775</v>
      </c>
      <c r="O29" s="164">
        <v>42775</v>
      </c>
      <c r="P29" s="155">
        <v>42778</v>
      </c>
      <c r="Q29" s="154" t="s">
        <v>287</v>
      </c>
      <c r="R29" s="155">
        <v>42780</v>
      </c>
      <c r="S29" s="155">
        <v>42787</v>
      </c>
      <c r="T29" s="155">
        <v>42810</v>
      </c>
      <c r="U29" s="157">
        <v>42818</v>
      </c>
      <c r="V29" s="157">
        <v>42815</v>
      </c>
      <c r="W29" s="131"/>
      <c r="Z29" s="133"/>
      <c r="AA29" s="133"/>
      <c r="AB29" s="133"/>
      <c r="AC29" s="133"/>
    </row>
    <row r="30" spans="1:29" customFormat="1" ht="25.5" customHeight="1" x14ac:dyDescent="0.25">
      <c r="A30" s="127">
        <v>26</v>
      </c>
      <c r="B30" s="127" t="s">
        <v>264</v>
      </c>
      <c r="C30" s="153"/>
      <c r="D30" s="153"/>
      <c r="E30" s="142" t="s">
        <v>380</v>
      </c>
      <c r="F30" s="127"/>
      <c r="G30" s="127" t="s">
        <v>28</v>
      </c>
      <c r="H30" s="127" t="s">
        <v>29</v>
      </c>
      <c r="I30" s="147"/>
      <c r="J30" s="129" t="s">
        <v>351</v>
      </c>
      <c r="K30" s="160" t="s">
        <v>185</v>
      </c>
      <c r="L30" s="131"/>
      <c r="M30" s="131"/>
      <c r="N30" s="164">
        <v>42775</v>
      </c>
      <c r="O30" s="164">
        <v>42775</v>
      </c>
      <c r="P30" s="155">
        <v>42778</v>
      </c>
      <c r="Q30" s="154" t="s">
        <v>288</v>
      </c>
      <c r="R30" s="155">
        <v>42780</v>
      </c>
      <c r="S30" s="155">
        <v>42786</v>
      </c>
      <c r="T30" s="155">
        <v>42823</v>
      </c>
      <c r="U30" s="157">
        <v>42833</v>
      </c>
      <c r="V30" s="132"/>
      <c r="W30" s="131"/>
      <c r="Z30" s="133"/>
      <c r="AA30" s="133"/>
      <c r="AB30" s="133"/>
      <c r="AC30" s="133"/>
    </row>
    <row r="31" spans="1:29" customFormat="1" ht="25.5" customHeight="1" x14ac:dyDescent="0.25">
      <c r="A31" s="127">
        <v>27</v>
      </c>
      <c r="B31" s="127" t="s">
        <v>264</v>
      </c>
      <c r="C31" s="153"/>
      <c r="D31" s="153"/>
      <c r="E31" s="142" t="s">
        <v>381</v>
      </c>
      <c r="F31" s="127"/>
      <c r="G31" s="127" t="s">
        <v>64</v>
      </c>
      <c r="H31" s="127" t="s">
        <v>29</v>
      </c>
      <c r="I31" s="147"/>
      <c r="J31" s="129" t="s">
        <v>351</v>
      </c>
      <c r="K31" s="160" t="s">
        <v>40</v>
      </c>
      <c r="L31" s="131"/>
      <c r="M31" s="131"/>
      <c r="N31" s="164">
        <v>42778</v>
      </c>
      <c r="O31" s="164">
        <v>42778</v>
      </c>
      <c r="P31" s="155">
        <v>42778</v>
      </c>
      <c r="Q31" s="154" t="s">
        <v>289</v>
      </c>
      <c r="R31" s="155">
        <v>42781</v>
      </c>
      <c r="S31" s="155">
        <v>42787</v>
      </c>
      <c r="T31" s="155">
        <v>42824</v>
      </c>
      <c r="U31" s="157">
        <v>42841</v>
      </c>
      <c r="V31" s="132"/>
      <c r="W31" s="131"/>
      <c r="Z31" s="133"/>
      <c r="AA31" s="133"/>
      <c r="AB31" s="133"/>
      <c r="AC31" s="133"/>
    </row>
    <row r="32" spans="1:29" customFormat="1" ht="25.5" customHeight="1" x14ac:dyDescent="0.25">
      <c r="A32" s="127">
        <v>28</v>
      </c>
      <c r="B32" s="127" t="s">
        <v>264</v>
      </c>
      <c r="C32" s="153"/>
      <c r="D32" s="153"/>
      <c r="E32" s="142" t="s">
        <v>382</v>
      </c>
      <c r="F32" s="127"/>
      <c r="G32" s="127" t="s">
        <v>64</v>
      </c>
      <c r="H32" s="127" t="s">
        <v>29</v>
      </c>
      <c r="I32" s="147"/>
      <c r="J32" s="129" t="s">
        <v>351</v>
      </c>
      <c r="K32" s="160" t="s">
        <v>40</v>
      </c>
      <c r="L32" s="131"/>
      <c r="M32" s="131"/>
      <c r="N32" s="164">
        <v>42778</v>
      </c>
      <c r="O32" s="164">
        <v>42778</v>
      </c>
      <c r="P32" s="155">
        <v>42779</v>
      </c>
      <c r="Q32" s="154" t="s">
        <v>290</v>
      </c>
      <c r="R32" s="155">
        <v>42781</v>
      </c>
      <c r="S32" s="155">
        <v>42772</v>
      </c>
      <c r="T32" s="155">
        <v>42823</v>
      </c>
      <c r="U32" s="157">
        <v>42833</v>
      </c>
      <c r="V32" s="132"/>
      <c r="W32" s="131"/>
      <c r="Z32" s="133"/>
      <c r="AA32" s="133"/>
      <c r="AB32" s="133"/>
      <c r="AC32" s="133"/>
    </row>
    <row r="33" spans="1:29" customFormat="1" ht="25.5" customHeight="1" x14ac:dyDescent="0.25">
      <c r="A33" s="127">
        <v>29</v>
      </c>
      <c r="B33" s="127" t="s">
        <v>264</v>
      </c>
      <c r="C33" s="153"/>
      <c r="D33" s="153"/>
      <c r="E33" s="142" t="s">
        <v>383</v>
      </c>
      <c r="F33" s="127"/>
      <c r="G33" s="127" t="s">
        <v>64</v>
      </c>
      <c r="H33" s="127" t="s">
        <v>29</v>
      </c>
      <c r="I33" s="147"/>
      <c r="J33" s="129" t="s">
        <v>351</v>
      </c>
      <c r="K33" s="160" t="s">
        <v>49</v>
      </c>
      <c r="L33" s="131"/>
      <c r="M33" s="131"/>
      <c r="N33" s="164">
        <v>42778</v>
      </c>
      <c r="O33" s="164">
        <v>42778</v>
      </c>
      <c r="P33" s="155">
        <v>42779</v>
      </c>
      <c r="Q33" s="154" t="s">
        <v>291</v>
      </c>
      <c r="R33" s="155">
        <v>42781</v>
      </c>
      <c r="S33" s="155">
        <v>42787</v>
      </c>
      <c r="T33" s="155">
        <v>42814</v>
      </c>
      <c r="U33" s="157">
        <v>42826</v>
      </c>
      <c r="V33" s="132">
        <v>42826</v>
      </c>
      <c r="W33" s="131"/>
      <c r="Z33" s="133"/>
      <c r="AA33" s="133"/>
      <c r="AB33" s="133"/>
      <c r="AC33" s="133"/>
    </row>
    <row r="34" spans="1:29" customFormat="1" ht="25.5" customHeight="1" x14ac:dyDescent="0.25">
      <c r="A34" s="127">
        <v>30</v>
      </c>
      <c r="B34" s="127" t="s">
        <v>264</v>
      </c>
      <c r="C34" s="153"/>
      <c r="D34" s="153"/>
      <c r="E34" s="142" t="s">
        <v>384</v>
      </c>
      <c r="F34" s="127"/>
      <c r="G34" s="127" t="s">
        <v>64</v>
      </c>
      <c r="H34" s="127" t="s">
        <v>29</v>
      </c>
      <c r="I34" s="147"/>
      <c r="J34" s="129" t="s">
        <v>351</v>
      </c>
      <c r="K34" s="160" t="s">
        <v>40</v>
      </c>
      <c r="L34" s="131"/>
      <c r="M34" s="131"/>
      <c r="N34" s="164">
        <v>42783</v>
      </c>
      <c r="O34" s="164">
        <v>42783</v>
      </c>
      <c r="P34" s="155">
        <v>42781</v>
      </c>
      <c r="Q34" s="154" t="s">
        <v>292</v>
      </c>
      <c r="R34" s="155">
        <v>42785</v>
      </c>
      <c r="S34" s="155">
        <v>42792</v>
      </c>
      <c r="T34" s="155">
        <v>42825</v>
      </c>
      <c r="U34" s="157">
        <v>42835</v>
      </c>
      <c r="V34" s="132"/>
      <c r="W34" s="131"/>
      <c r="Z34" s="133"/>
      <c r="AA34" s="133"/>
      <c r="AB34" s="133"/>
      <c r="AC34" s="133"/>
    </row>
    <row r="35" spans="1:29" x14ac:dyDescent="0.2">
      <c r="A35" s="127">
        <v>31</v>
      </c>
      <c r="B35" s="127" t="s">
        <v>264</v>
      </c>
      <c r="C35" s="153"/>
      <c r="D35" s="153"/>
      <c r="E35" s="142" t="s">
        <v>385</v>
      </c>
      <c r="F35" s="127"/>
      <c r="G35" s="127" t="s">
        <v>64</v>
      </c>
      <c r="H35" s="127" t="s">
        <v>29</v>
      </c>
      <c r="I35" s="147"/>
      <c r="J35" s="129" t="s">
        <v>351</v>
      </c>
      <c r="K35" s="160" t="s">
        <v>45</v>
      </c>
      <c r="L35" s="131"/>
      <c r="M35" s="131"/>
      <c r="N35" s="164">
        <v>42783</v>
      </c>
      <c r="O35" s="164">
        <v>42783</v>
      </c>
      <c r="P35" s="155">
        <v>42781</v>
      </c>
      <c r="Q35" s="154" t="s">
        <v>293</v>
      </c>
      <c r="R35" s="155">
        <v>42785</v>
      </c>
      <c r="S35" s="155"/>
      <c r="T35" s="155"/>
      <c r="U35" s="132"/>
      <c r="V35" s="132"/>
      <c r="W35" s="131"/>
      <c r="Z35" s="133"/>
      <c r="AA35" s="133"/>
      <c r="AB35" s="133"/>
      <c r="AC35" s="133"/>
    </row>
    <row r="36" spans="1:29" customFormat="1" ht="25.5" customHeight="1" x14ac:dyDescent="0.25">
      <c r="A36" s="127">
        <v>32</v>
      </c>
      <c r="B36" s="127" t="s">
        <v>264</v>
      </c>
      <c r="C36" s="153"/>
      <c r="D36" s="153"/>
      <c r="E36" s="142" t="s">
        <v>386</v>
      </c>
      <c r="F36" s="127"/>
      <c r="G36" s="127" t="s">
        <v>64</v>
      </c>
      <c r="H36" s="127" t="s">
        <v>29</v>
      </c>
      <c r="I36" s="147"/>
      <c r="J36" s="129" t="s">
        <v>351</v>
      </c>
      <c r="K36" s="160" t="s">
        <v>40</v>
      </c>
      <c r="L36" s="131"/>
      <c r="M36" s="131"/>
      <c r="N36" s="131"/>
      <c r="O36" s="164">
        <v>42783</v>
      </c>
      <c r="P36" s="155">
        <v>42781</v>
      </c>
      <c r="Q36" s="154" t="s">
        <v>294</v>
      </c>
      <c r="R36" s="155">
        <v>42786</v>
      </c>
      <c r="S36" s="155">
        <v>42803</v>
      </c>
      <c r="T36" s="155">
        <v>42826</v>
      </c>
      <c r="U36" s="157">
        <v>42836</v>
      </c>
      <c r="V36" s="132"/>
      <c r="W36" s="131"/>
      <c r="Z36" s="133"/>
      <c r="AA36" s="133"/>
      <c r="AB36" s="133"/>
      <c r="AC36" s="133"/>
    </row>
    <row r="37" spans="1:29" customFormat="1" ht="25.5" customHeight="1" x14ac:dyDescent="0.25">
      <c r="A37" s="127">
        <v>33</v>
      </c>
      <c r="B37" s="127" t="s">
        <v>264</v>
      </c>
      <c r="C37" s="153"/>
      <c r="D37" s="153"/>
      <c r="E37" s="142" t="s">
        <v>387</v>
      </c>
      <c r="F37" s="127"/>
      <c r="G37" s="127" t="s">
        <v>64</v>
      </c>
      <c r="H37" s="127" t="s">
        <v>29</v>
      </c>
      <c r="I37" s="147"/>
      <c r="J37" s="129" t="s">
        <v>351</v>
      </c>
      <c r="K37" s="160" t="s">
        <v>177</v>
      </c>
      <c r="L37" s="131"/>
      <c r="M37" s="131"/>
      <c r="N37" s="131"/>
      <c r="O37" s="164">
        <v>42783</v>
      </c>
      <c r="P37" s="155">
        <v>42789</v>
      </c>
      <c r="Q37" s="154" t="s">
        <v>295</v>
      </c>
      <c r="R37" s="155">
        <v>42793</v>
      </c>
      <c r="S37" s="155">
        <v>42803</v>
      </c>
      <c r="T37" s="155">
        <v>42838</v>
      </c>
      <c r="U37" s="157">
        <v>42848</v>
      </c>
      <c r="V37" s="132"/>
      <c r="W37" s="131"/>
      <c r="Z37" s="133"/>
      <c r="AA37" s="133"/>
      <c r="AB37" s="133"/>
      <c r="AC37" s="133"/>
    </row>
    <row r="38" spans="1:29" x14ac:dyDescent="0.2">
      <c r="A38" s="127"/>
      <c r="B38" s="127" t="s">
        <v>264</v>
      </c>
      <c r="C38" s="153"/>
      <c r="D38" s="153"/>
      <c r="E38" s="142" t="s">
        <v>388</v>
      </c>
      <c r="F38" s="127"/>
      <c r="G38" s="127" t="s">
        <v>64</v>
      </c>
      <c r="H38" s="127" t="s">
        <v>29</v>
      </c>
      <c r="I38" s="147"/>
      <c r="J38" s="129" t="s">
        <v>351</v>
      </c>
      <c r="K38" s="160" t="s">
        <v>87</v>
      </c>
      <c r="L38" s="131"/>
      <c r="M38" s="131"/>
      <c r="N38" s="131"/>
      <c r="O38" s="164">
        <v>42691</v>
      </c>
      <c r="P38" s="155">
        <v>42691</v>
      </c>
      <c r="Q38" s="154" t="s">
        <v>296</v>
      </c>
      <c r="R38" s="155">
        <v>42807</v>
      </c>
      <c r="S38" s="155">
        <v>42818</v>
      </c>
      <c r="T38" s="155"/>
      <c r="U38" s="157"/>
      <c r="V38" s="132"/>
      <c r="W38" s="131"/>
      <c r="Z38" s="133"/>
      <c r="AA38" s="133"/>
      <c r="AB38" s="133"/>
      <c r="AC38" s="133"/>
    </row>
    <row r="39" spans="1:29" x14ac:dyDescent="0.2">
      <c r="A39" s="127"/>
      <c r="B39" s="127" t="s">
        <v>264</v>
      </c>
      <c r="C39" s="153"/>
      <c r="D39" s="153"/>
      <c r="E39" s="142" t="s">
        <v>389</v>
      </c>
      <c r="F39" s="127"/>
      <c r="G39" s="127" t="s">
        <v>64</v>
      </c>
      <c r="H39" s="127" t="s">
        <v>29</v>
      </c>
      <c r="I39" s="147"/>
      <c r="J39" s="129" t="s">
        <v>351</v>
      </c>
      <c r="K39" s="160" t="s">
        <v>45</v>
      </c>
      <c r="L39" s="131"/>
      <c r="M39" s="131"/>
      <c r="N39" s="131"/>
      <c r="O39" s="164">
        <v>42801</v>
      </c>
      <c r="P39" s="155">
        <v>42802</v>
      </c>
      <c r="Q39" s="154" t="s">
        <v>297</v>
      </c>
      <c r="R39" s="155">
        <v>42808</v>
      </c>
      <c r="S39" s="155"/>
      <c r="T39" s="155"/>
      <c r="U39" s="157"/>
      <c r="V39" s="132"/>
      <c r="W39" s="131"/>
      <c r="Z39" s="133"/>
      <c r="AA39" s="133"/>
      <c r="AB39" s="133"/>
      <c r="AC39" s="133"/>
    </row>
    <row r="40" spans="1:29" x14ac:dyDescent="0.2">
      <c r="A40" s="127"/>
      <c r="B40" s="127" t="s">
        <v>264</v>
      </c>
      <c r="C40" s="153"/>
      <c r="D40" s="153"/>
      <c r="E40" s="142" t="s">
        <v>390</v>
      </c>
      <c r="F40" s="127"/>
      <c r="G40" s="127" t="s">
        <v>48</v>
      </c>
      <c r="H40" s="127" t="s">
        <v>79</v>
      </c>
      <c r="I40" s="147"/>
      <c r="J40" s="129" t="s">
        <v>351</v>
      </c>
      <c r="K40" s="160" t="s">
        <v>177</v>
      </c>
      <c r="L40" s="131"/>
      <c r="M40" s="131"/>
      <c r="N40" s="131"/>
      <c r="O40" s="164">
        <v>42807</v>
      </c>
      <c r="P40" s="155">
        <v>42807</v>
      </c>
      <c r="Q40" s="154" t="s">
        <v>298</v>
      </c>
      <c r="R40" s="155">
        <v>42815</v>
      </c>
      <c r="S40" s="155">
        <v>42820</v>
      </c>
      <c r="T40" s="155">
        <v>42843</v>
      </c>
      <c r="U40" s="157">
        <v>42853</v>
      </c>
      <c r="V40" s="132"/>
      <c r="W40" s="131"/>
      <c r="Z40" s="133"/>
      <c r="AA40" s="133"/>
      <c r="AB40" s="133"/>
      <c r="AC40" s="133"/>
    </row>
    <row r="41" spans="1:29" x14ac:dyDescent="0.2">
      <c r="A41" s="127"/>
      <c r="B41" s="127" t="s">
        <v>264</v>
      </c>
      <c r="C41" s="153"/>
      <c r="D41" s="153"/>
      <c r="E41" s="142" t="s">
        <v>391</v>
      </c>
      <c r="F41" s="127"/>
      <c r="G41" s="127" t="s">
        <v>64</v>
      </c>
      <c r="H41" s="127"/>
      <c r="I41" s="147"/>
      <c r="J41" s="129" t="s">
        <v>351</v>
      </c>
      <c r="K41" s="160" t="s">
        <v>45</v>
      </c>
      <c r="L41" s="131"/>
      <c r="M41" s="131"/>
      <c r="N41" s="131"/>
      <c r="O41" s="164">
        <v>42691</v>
      </c>
      <c r="P41" s="155">
        <v>42691</v>
      </c>
      <c r="Q41" s="154" t="s">
        <v>299</v>
      </c>
      <c r="R41" s="155">
        <v>42824</v>
      </c>
      <c r="S41" s="155"/>
      <c r="T41" s="155"/>
      <c r="U41" s="157"/>
      <c r="V41" s="132"/>
      <c r="W41" s="131"/>
      <c r="Z41" s="133"/>
      <c r="AA41" s="133"/>
      <c r="AB41" s="133"/>
      <c r="AC41" s="133"/>
    </row>
    <row r="42" spans="1:29" x14ac:dyDescent="0.2">
      <c r="A42" s="127"/>
      <c r="B42" s="127" t="s">
        <v>264</v>
      </c>
      <c r="C42" s="153" t="s">
        <v>187</v>
      </c>
      <c r="D42" s="153"/>
      <c r="E42" s="142" t="s">
        <v>392</v>
      </c>
      <c r="F42" s="127"/>
      <c r="G42" s="127" t="s">
        <v>48</v>
      </c>
      <c r="H42" s="127"/>
      <c r="I42" s="147"/>
      <c r="J42" s="129" t="s">
        <v>351</v>
      </c>
      <c r="K42" s="160" t="s">
        <v>45</v>
      </c>
      <c r="L42" s="131"/>
      <c r="M42" s="131"/>
      <c r="N42" s="131"/>
      <c r="O42" s="164"/>
      <c r="P42" s="155">
        <v>42817</v>
      </c>
      <c r="Q42" s="154" t="s">
        <v>300</v>
      </c>
      <c r="R42" s="155">
        <v>42827</v>
      </c>
      <c r="S42" s="155"/>
      <c r="T42" s="155"/>
      <c r="U42" s="157"/>
      <c r="V42" s="132"/>
      <c r="W42" s="131"/>
      <c r="Z42" s="133"/>
      <c r="AA42" s="133"/>
      <c r="AB42" s="133"/>
      <c r="AC42" s="133"/>
    </row>
    <row r="43" spans="1:29" customFormat="1" ht="25.5" customHeight="1" x14ac:dyDescent="0.25">
      <c r="A43" s="127">
        <v>81</v>
      </c>
      <c r="B43" s="127" t="s">
        <v>264</v>
      </c>
      <c r="C43" s="153"/>
      <c r="D43" s="153"/>
      <c r="E43" s="142" t="s">
        <v>393</v>
      </c>
      <c r="F43" s="127"/>
      <c r="G43" s="127" t="s">
        <v>28</v>
      </c>
      <c r="H43" s="127" t="s">
        <v>29</v>
      </c>
      <c r="I43" s="147"/>
      <c r="J43" s="129" t="s">
        <v>351</v>
      </c>
      <c r="K43" s="156" t="s">
        <v>49</v>
      </c>
      <c r="L43" s="131"/>
      <c r="M43" s="131"/>
      <c r="N43" s="155">
        <v>42685</v>
      </c>
      <c r="O43" s="155">
        <v>42685</v>
      </c>
      <c r="P43" s="155">
        <v>42656</v>
      </c>
      <c r="Q43" s="154" t="s">
        <v>301</v>
      </c>
      <c r="R43" s="155">
        <v>42703</v>
      </c>
      <c r="S43" s="155">
        <v>42705</v>
      </c>
      <c r="T43" s="155">
        <v>42740</v>
      </c>
      <c r="U43" s="132">
        <v>42753</v>
      </c>
      <c r="V43" s="132">
        <v>42752</v>
      </c>
      <c r="W43" s="131"/>
      <c r="Z43" s="133"/>
      <c r="AA43" s="133"/>
      <c r="AB43" s="133"/>
      <c r="AC43" s="133"/>
    </row>
    <row r="44" spans="1:29" customFormat="1" ht="76.5" customHeight="1" x14ac:dyDescent="0.25">
      <c r="A44" s="127">
        <v>82</v>
      </c>
      <c r="B44" s="140" t="s">
        <v>264</v>
      </c>
      <c r="C44" s="141" t="s">
        <v>188</v>
      </c>
      <c r="D44" s="141"/>
      <c r="E44" s="142" t="s">
        <v>394</v>
      </c>
      <c r="F44" s="140"/>
      <c r="G44" s="140" t="s">
        <v>28</v>
      </c>
      <c r="H44" s="143" t="s">
        <v>29</v>
      </c>
      <c r="I44" s="142"/>
      <c r="J44" s="129" t="s">
        <v>351</v>
      </c>
      <c r="K44" s="145" t="s">
        <v>87</v>
      </c>
      <c r="L44" s="146"/>
      <c r="M44" s="146"/>
      <c r="N44" s="146">
        <v>42421</v>
      </c>
      <c r="O44" s="146">
        <v>42422</v>
      </c>
      <c r="P44" s="146">
        <v>42425</v>
      </c>
      <c r="Q44" s="140" t="s">
        <v>302</v>
      </c>
      <c r="R44" s="146">
        <v>42431</v>
      </c>
      <c r="S44" s="146">
        <v>42433</v>
      </c>
      <c r="T44" s="146"/>
      <c r="U44" s="146"/>
      <c r="V44" s="146"/>
      <c r="W44" s="146"/>
      <c r="Z44" s="133"/>
      <c r="AA44" s="133"/>
      <c r="AB44" s="133"/>
      <c r="AC44" s="133"/>
    </row>
    <row r="45" spans="1:29" customFormat="1" ht="25.5" customHeight="1" x14ac:dyDescent="0.25">
      <c r="A45" s="127">
        <v>83</v>
      </c>
      <c r="B45" s="140" t="s">
        <v>264</v>
      </c>
      <c r="C45" s="141" t="s">
        <v>189</v>
      </c>
      <c r="D45" s="141" t="s">
        <v>128</v>
      </c>
      <c r="E45" s="142" t="s">
        <v>395</v>
      </c>
      <c r="F45" s="140"/>
      <c r="G45" s="140" t="s">
        <v>48</v>
      </c>
      <c r="H45" s="143" t="s">
        <v>44</v>
      </c>
      <c r="I45" s="142"/>
      <c r="J45" s="129" t="s">
        <v>351</v>
      </c>
      <c r="K45" s="166" t="s">
        <v>87</v>
      </c>
      <c r="L45" s="167" t="s">
        <v>190</v>
      </c>
      <c r="M45" s="167" t="s">
        <v>191</v>
      </c>
      <c r="N45" s="168" t="s">
        <v>192</v>
      </c>
      <c r="O45" s="146">
        <v>42604</v>
      </c>
      <c r="P45" s="146">
        <v>42604</v>
      </c>
      <c r="Q45" s="140" t="s">
        <v>303</v>
      </c>
      <c r="R45" s="146">
        <v>42618</v>
      </c>
      <c r="S45" s="146">
        <v>42633</v>
      </c>
      <c r="T45" s="146"/>
      <c r="U45" s="169"/>
      <c r="V45" s="169"/>
      <c r="W45" s="168"/>
      <c r="Z45" s="133"/>
      <c r="AA45" s="133"/>
      <c r="AB45" s="133"/>
      <c r="AC45" s="133"/>
    </row>
    <row r="46" spans="1:29" customFormat="1" ht="25.5" customHeight="1" x14ac:dyDescent="0.25">
      <c r="A46" s="127">
        <v>84</v>
      </c>
      <c r="B46" s="127" t="s">
        <v>264</v>
      </c>
      <c r="C46" s="153"/>
      <c r="D46" s="153"/>
      <c r="E46" s="142" t="s">
        <v>396</v>
      </c>
      <c r="F46" s="127"/>
      <c r="G46" s="127" t="s">
        <v>64</v>
      </c>
      <c r="H46" s="127"/>
      <c r="I46" s="147"/>
      <c r="J46" s="129" t="s">
        <v>351</v>
      </c>
      <c r="K46" s="130" t="s">
        <v>49</v>
      </c>
      <c r="L46" s="153"/>
      <c r="M46" s="153"/>
      <c r="N46" s="155">
        <v>42690</v>
      </c>
      <c r="O46" s="155">
        <v>42690</v>
      </c>
      <c r="P46" s="155">
        <v>42691</v>
      </c>
      <c r="Q46" s="154" t="s">
        <v>304</v>
      </c>
      <c r="R46" s="155">
        <v>42710</v>
      </c>
      <c r="S46" s="155">
        <v>42737</v>
      </c>
      <c r="T46" s="155">
        <v>42757</v>
      </c>
      <c r="U46" s="155">
        <v>42768</v>
      </c>
      <c r="V46" s="155">
        <v>42772</v>
      </c>
      <c r="W46" s="155"/>
      <c r="Z46" s="133"/>
      <c r="AA46" s="133"/>
      <c r="AB46" s="133"/>
      <c r="AC46" s="133"/>
    </row>
    <row r="47" spans="1:29" customFormat="1" ht="25.5" customHeight="1" x14ac:dyDescent="0.25">
      <c r="A47" s="127">
        <v>85</v>
      </c>
      <c r="B47" s="127" t="s">
        <v>264</v>
      </c>
      <c r="C47" s="153"/>
      <c r="D47" s="153"/>
      <c r="E47" s="142" t="s">
        <v>397</v>
      </c>
      <c r="F47" s="127"/>
      <c r="G47" s="127" t="s">
        <v>64</v>
      </c>
      <c r="H47" s="127" t="s">
        <v>29</v>
      </c>
      <c r="I47" s="147"/>
      <c r="J47" s="129" t="s">
        <v>351</v>
      </c>
      <c r="K47" s="130" t="s">
        <v>49</v>
      </c>
      <c r="L47" s="153"/>
      <c r="M47" s="153"/>
      <c r="N47" s="155">
        <v>42690</v>
      </c>
      <c r="O47" s="155">
        <v>42690</v>
      </c>
      <c r="P47" s="155">
        <v>42690</v>
      </c>
      <c r="Q47" s="154" t="s">
        <v>305</v>
      </c>
      <c r="R47" s="155">
        <v>42703</v>
      </c>
      <c r="S47" s="155">
        <v>42717</v>
      </c>
      <c r="T47" s="155">
        <v>42758</v>
      </c>
      <c r="U47" s="155">
        <v>42766</v>
      </c>
      <c r="V47" s="155">
        <v>42764</v>
      </c>
      <c r="W47" s="155"/>
      <c r="Z47" s="133"/>
      <c r="AA47" s="133"/>
      <c r="AB47" s="133"/>
      <c r="AC47" s="133"/>
    </row>
    <row r="48" spans="1:29" s="196" customFormat="1" ht="25.5" customHeight="1" x14ac:dyDescent="0.2">
      <c r="A48" s="127">
        <v>86</v>
      </c>
      <c r="B48" s="147" t="s">
        <v>264</v>
      </c>
      <c r="C48" s="156"/>
      <c r="D48" s="170"/>
      <c r="E48" s="142" t="s">
        <v>398</v>
      </c>
      <c r="F48" s="158"/>
      <c r="G48" s="158" t="s">
        <v>48</v>
      </c>
      <c r="H48" s="156" t="s">
        <v>79</v>
      </c>
      <c r="I48" s="147"/>
      <c r="J48" s="129" t="s">
        <v>351</v>
      </c>
      <c r="K48" s="158" t="s">
        <v>49</v>
      </c>
      <c r="L48" s="171"/>
      <c r="M48" s="172"/>
      <c r="N48" s="157" t="s">
        <v>193</v>
      </c>
      <c r="O48" s="157">
        <v>42710</v>
      </c>
      <c r="P48" s="157">
        <v>42711</v>
      </c>
      <c r="Q48" s="157" t="s">
        <v>306</v>
      </c>
      <c r="R48" s="157">
        <v>42722</v>
      </c>
      <c r="S48" s="157">
        <v>42725</v>
      </c>
      <c r="T48" s="157">
        <v>42768</v>
      </c>
      <c r="U48" s="157">
        <v>42778</v>
      </c>
      <c r="V48" s="157">
        <v>42774</v>
      </c>
      <c r="W48" s="173">
        <v>42802</v>
      </c>
      <c r="Z48" s="133"/>
      <c r="AA48" s="133"/>
      <c r="AB48" s="133"/>
      <c r="AC48" s="133"/>
    </row>
    <row r="49" spans="1:29" customFormat="1" ht="25.5" customHeight="1" x14ac:dyDescent="0.25">
      <c r="A49" s="127">
        <v>87</v>
      </c>
      <c r="B49" s="127" t="s">
        <v>264</v>
      </c>
      <c r="C49" s="153"/>
      <c r="D49" s="153"/>
      <c r="E49" s="142" t="s">
        <v>399</v>
      </c>
      <c r="F49" s="127"/>
      <c r="G49" s="127" t="s">
        <v>64</v>
      </c>
      <c r="H49" s="127" t="s">
        <v>44</v>
      </c>
      <c r="I49" s="147"/>
      <c r="J49" s="129" t="s">
        <v>351</v>
      </c>
      <c r="K49" s="156" t="s">
        <v>49</v>
      </c>
      <c r="L49" s="153"/>
      <c r="M49" s="153"/>
      <c r="N49" s="155">
        <v>42690</v>
      </c>
      <c r="O49" s="155">
        <v>42690</v>
      </c>
      <c r="P49" s="155">
        <v>42691</v>
      </c>
      <c r="Q49" s="154" t="s">
        <v>307</v>
      </c>
      <c r="R49" s="155">
        <v>42703</v>
      </c>
      <c r="S49" s="155">
        <v>42711</v>
      </c>
      <c r="T49" s="155">
        <v>42776</v>
      </c>
      <c r="U49" s="155">
        <v>42786</v>
      </c>
      <c r="V49" s="155">
        <v>42781</v>
      </c>
      <c r="W49" s="155"/>
      <c r="Z49" s="133"/>
      <c r="AA49" s="133"/>
      <c r="AB49" s="133"/>
      <c r="AC49" s="133"/>
    </row>
    <row r="50" spans="1:29" customFormat="1" ht="25.5" customHeight="1" x14ac:dyDescent="0.25">
      <c r="A50" s="127">
        <v>88</v>
      </c>
      <c r="B50" s="140" t="s">
        <v>264</v>
      </c>
      <c r="C50" s="141" t="s">
        <v>68</v>
      </c>
      <c r="D50" s="141" t="s">
        <v>54</v>
      </c>
      <c r="E50" s="142" t="s">
        <v>400</v>
      </c>
      <c r="F50" s="140"/>
      <c r="G50" s="140" t="s">
        <v>64</v>
      </c>
      <c r="H50" s="143" t="s">
        <v>29</v>
      </c>
      <c r="I50" s="142"/>
      <c r="J50" s="129" t="s">
        <v>351</v>
      </c>
      <c r="K50" s="145" t="s">
        <v>87</v>
      </c>
      <c r="L50" s="168"/>
      <c r="M50" s="168"/>
      <c r="N50" s="146">
        <v>42579</v>
      </c>
      <c r="O50" s="146">
        <v>42579</v>
      </c>
      <c r="P50" s="146">
        <v>42582</v>
      </c>
      <c r="Q50" s="140" t="s">
        <v>308</v>
      </c>
      <c r="R50" s="146">
        <v>42607</v>
      </c>
      <c r="S50" s="146"/>
      <c r="T50" s="146"/>
      <c r="U50" s="169"/>
      <c r="V50" s="169"/>
      <c r="W50" s="168"/>
      <c r="Z50" s="133"/>
      <c r="AA50" s="133"/>
      <c r="AB50" s="133"/>
      <c r="AC50" s="133"/>
    </row>
    <row r="51" spans="1:29" x14ac:dyDescent="0.2">
      <c r="E51" s="142" t="s">
        <v>401</v>
      </c>
      <c r="J51" s="129" t="s">
        <v>351</v>
      </c>
      <c r="Z51" s="285"/>
      <c r="AA51" s="285"/>
      <c r="AB51" s="285"/>
      <c r="AC51" s="285"/>
    </row>
    <row r="52" spans="1:29" x14ac:dyDescent="0.2">
      <c r="A52" s="127">
        <v>90</v>
      </c>
      <c r="B52" s="140" t="s">
        <v>264</v>
      </c>
      <c r="C52" s="141"/>
      <c r="D52" s="141" t="s">
        <v>194</v>
      </c>
      <c r="E52" s="142" t="s">
        <v>402</v>
      </c>
      <c r="F52" s="140"/>
      <c r="G52" s="140" t="s">
        <v>48</v>
      </c>
      <c r="H52" s="140" t="s">
        <v>29</v>
      </c>
      <c r="I52" s="142"/>
      <c r="J52" s="129" t="s">
        <v>351</v>
      </c>
      <c r="K52" s="145" t="s">
        <v>87</v>
      </c>
      <c r="L52" s="168"/>
      <c r="M52" s="168"/>
      <c r="N52" s="146"/>
      <c r="O52" s="146"/>
      <c r="P52" s="146"/>
      <c r="Q52" s="144"/>
      <c r="R52" s="146"/>
      <c r="S52" s="146"/>
      <c r="T52" s="146"/>
      <c r="U52" s="169"/>
      <c r="V52" s="169"/>
      <c r="W52" s="168"/>
      <c r="Z52" s="133"/>
      <c r="AA52" s="133"/>
      <c r="AB52" s="133"/>
      <c r="AC52" s="133"/>
    </row>
    <row r="53" spans="1:29" customFormat="1" ht="25.5" customHeight="1" x14ac:dyDescent="0.25">
      <c r="A53" s="127">
        <v>91</v>
      </c>
      <c r="B53" s="140" t="s">
        <v>264</v>
      </c>
      <c r="C53" s="141" t="s">
        <v>68</v>
      </c>
      <c r="D53" s="141" t="s">
        <v>54</v>
      </c>
      <c r="E53" s="142" t="s">
        <v>403</v>
      </c>
      <c r="F53" s="140"/>
      <c r="G53" s="140" t="s">
        <v>64</v>
      </c>
      <c r="H53" s="143" t="s">
        <v>29</v>
      </c>
      <c r="I53" s="142"/>
      <c r="J53" s="129" t="s">
        <v>351</v>
      </c>
      <c r="K53" s="145" t="s">
        <v>87</v>
      </c>
      <c r="L53" s="168"/>
      <c r="M53" s="168"/>
      <c r="N53" s="146">
        <v>42579</v>
      </c>
      <c r="O53" s="146">
        <v>42579</v>
      </c>
      <c r="P53" s="146">
        <v>42582</v>
      </c>
      <c r="Q53" s="140" t="s">
        <v>309</v>
      </c>
      <c r="R53" s="146">
        <v>42607</v>
      </c>
      <c r="S53" s="146"/>
      <c r="T53" s="146"/>
      <c r="U53" s="169"/>
      <c r="V53" s="169"/>
      <c r="W53" s="168"/>
      <c r="Z53" s="133"/>
      <c r="AA53" s="133"/>
      <c r="AB53" s="133"/>
      <c r="AC53" s="133"/>
    </row>
    <row r="54" spans="1:29" customFormat="1" ht="25.5" customHeight="1" x14ac:dyDescent="0.25">
      <c r="A54" s="127">
        <v>92</v>
      </c>
      <c r="B54" s="127" t="s">
        <v>264</v>
      </c>
      <c r="C54" s="153"/>
      <c r="D54" s="153"/>
      <c r="E54" s="142" t="s">
        <v>404</v>
      </c>
      <c r="F54" s="127"/>
      <c r="G54" s="127" t="s">
        <v>48</v>
      </c>
      <c r="H54" s="127" t="s">
        <v>29</v>
      </c>
      <c r="I54" s="147"/>
      <c r="J54" s="129" t="s">
        <v>351</v>
      </c>
      <c r="K54" s="130" t="s">
        <v>49</v>
      </c>
      <c r="L54" s="131">
        <v>42689</v>
      </c>
      <c r="M54" s="131">
        <v>42324</v>
      </c>
      <c r="N54" s="131">
        <v>42701</v>
      </c>
      <c r="O54" s="155">
        <v>42358</v>
      </c>
      <c r="P54" s="155"/>
      <c r="Q54" s="154"/>
      <c r="R54" s="155"/>
      <c r="S54" s="155">
        <v>42736</v>
      </c>
      <c r="T54" s="155"/>
      <c r="U54" s="132">
        <v>42744</v>
      </c>
      <c r="V54" s="132">
        <v>42745</v>
      </c>
      <c r="W54" s="131">
        <v>42746</v>
      </c>
      <c r="Z54" s="133"/>
      <c r="AA54" s="133"/>
      <c r="AB54" s="133"/>
      <c r="AC54" s="133"/>
    </row>
    <row r="55" spans="1:29" x14ac:dyDescent="0.2">
      <c r="A55" s="127">
        <v>93</v>
      </c>
      <c r="B55" s="127" t="s">
        <v>264</v>
      </c>
      <c r="C55" s="129"/>
      <c r="D55" s="128"/>
      <c r="E55" s="142" t="s">
        <v>405</v>
      </c>
      <c r="F55" s="129"/>
      <c r="G55" s="129" t="s">
        <v>64</v>
      </c>
      <c r="H55" s="129" t="s">
        <v>79</v>
      </c>
      <c r="I55" s="130"/>
      <c r="J55" s="129" t="s">
        <v>351</v>
      </c>
      <c r="K55" s="130" t="s">
        <v>49</v>
      </c>
      <c r="L55" s="126"/>
      <c r="M55" s="128"/>
      <c r="N55" s="132">
        <v>42710</v>
      </c>
      <c r="O55" s="132">
        <v>42710</v>
      </c>
      <c r="P55" s="132">
        <v>42711</v>
      </c>
      <c r="Q55" s="132" t="s">
        <v>310</v>
      </c>
      <c r="R55" s="132">
        <v>42722</v>
      </c>
      <c r="S55" s="132">
        <v>42724</v>
      </c>
      <c r="T55" s="132">
        <v>42763</v>
      </c>
      <c r="U55" s="132">
        <v>42771</v>
      </c>
      <c r="V55" s="132">
        <v>42768</v>
      </c>
      <c r="W55" s="131"/>
      <c r="Z55" s="133"/>
      <c r="AA55" s="133"/>
      <c r="AB55" s="133"/>
      <c r="AC55" s="133"/>
    </row>
    <row r="56" spans="1:29" customFormat="1" ht="25.5" customHeight="1" x14ac:dyDescent="0.25">
      <c r="A56" s="127">
        <v>94</v>
      </c>
      <c r="B56" s="127" t="s">
        <v>264</v>
      </c>
      <c r="C56" s="153" t="s">
        <v>195</v>
      </c>
      <c r="D56" s="153" t="s">
        <v>196</v>
      </c>
      <c r="E56" s="142" t="s">
        <v>406</v>
      </c>
      <c r="F56" s="127"/>
      <c r="G56" s="127" t="s">
        <v>64</v>
      </c>
      <c r="H56" s="174" t="s">
        <v>44</v>
      </c>
      <c r="I56" s="147"/>
      <c r="J56" s="129" t="s">
        <v>351</v>
      </c>
      <c r="K56" s="165" t="s">
        <v>49</v>
      </c>
      <c r="L56" s="155"/>
      <c r="M56" s="155"/>
      <c r="N56" s="155">
        <v>42516</v>
      </c>
      <c r="O56" s="155">
        <v>42516</v>
      </c>
      <c r="P56" s="155">
        <v>42517</v>
      </c>
      <c r="Q56" s="127" t="s">
        <v>311</v>
      </c>
      <c r="R56" s="155">
        <v>42527</v>
      </c>
      <c r="S56" s="155">
        <v>42659</v>
      </c>
      <c r="T56" s="155">
        <v>42695</v>
      </c>
      <c r="U56" s="155">
        <v>42745</v>
      </c>
      <c r="V56" s="155">
        <v>42749</v>
      </c>
      <c r="W56" s="155"/>
      <c r="Z56" s="133"/>
      <c r="AA56" s="133"/>
      <c r="AB56" s="133"/>
      <c r="AC56" s="133"/>
    </row>
    <row r="57" spans="1:29" customFormat="1" ht="25.5" customHeight="1" x14ac:dyDescent="0.25">
      <c r="A57" s="127">
        <v>95</v>
      </c>
      <c r="B57" s="127" t="s">
        <v>264</v>
      </c>
      <c r="C57" s="153"/>
      <c r="D57" s="153"/>
      <c r="E57" s="142" t="s">
        <v>407</v>
      </c>
      <c r="F57" s="127"/>
      <c r="G57" s="127" t="s">
        <v>64</v>
      </c>
      <c r="H57" s="127" t="s">
        <v>29</v>
      </c>
      <c r="I57" s="147"/>
      <c r="J57" s="129" t="s">
        <v>351</v>
      </c>
      <c r="K57" s="156" t="s">
        <v>49</v>
      </c>
      <c r="L57" s="131"/>
      <c r="M57" s="131"/>
      <c r="N57" s="155">
        <v>42738</v>
      </c>
      <c r="O57" s="155">
        <v>42738</v>
      </c>
      <c r="P57" s="155">
        <v>42746</v>
      </c>
      <c r="Q57" s="154" t="s">
        <v>312</v>
      </c>
      <c r="R57" s="155">
        <v>42745</v>
      </c>
      <c r="S57" s="155">
        <v>42761</v>
      </c>
      <c r="T57" s="155">
        <v>42782</v>
      </c>
      <c r="U57" s="157">
        <v>42788</v>
      </c>
      <c r="V57" s="157">
        <v>42786</v>
      </c>
      <c r="W57" s="131"/>
      <c r="Z57" s="133"/>
      <c r="AA57" s="133"/>
      <c r="AB57" s="133"/>
      <c r="AC57" s="133"/>
    </row>
    <row r="58" spans="1:29" customFormat="1" ht="25.5" customHeight="1" x14ac:dyDescent="0.25">
      <c r="A58" s="127">
        <v>96</v>
      </c>
      <c r="B58" s="127" t="s">
        <v>264</v>
      </c>
      <c r="C58" s="153"/>
      <c r="D58" s="153"/>
      <c r="E58" s="142" t="s">
        <v>408</v>
      </c>
      <c r="F58" s="127"/>
      <c r="G58" s="127" t="s">
        <v>64</v>
      </c>
      <c r="H58" s="127" t="s">
        <v>79</v>
      </c>
      <c r="I58" s="147"/>
      <c r="J58" s="129" t="s">
        <v>351</v>
      </c>
      <c r="K58" s="156" t="s">
        <v>49</v>
      </c>
      <c r="L58" s="153"/>
      <c r="M58" s="153"/>
      <c r="N58" s="155">
        <v>42688</v>
      </c>
      <c r="O58" s="155">
        <v>42688</v>
      </c>
      <c r="P58" s="155">
        <v>42689</v>
      </c>
      <c r="Q58" s="154" t="s">
        <v>313</v>
      </c>
      <c r="R58" s="155">
        <v>42704</v>
      </c>
      <c r="S58" s="155">
        <v>42711</v>
      </c>
      <c r="T58" s="155">
        <v>42791</v>
      </c>
      <c r="U58" s="155">
        <v>42802</v>
      </c>
      <c r="V58" s="155">
        <v>42799</v>
      </c>
      <c r="W58" s="155"/>
      <c r="Z58" s="133"/>
      <c r="AA58" s="133"/>
      <c r="AB58" s="133"/>
      <c r="AC58" s="133"/>
    </row>
    <row r="59" spans="1:29" customFormat="1" ht="25.5" customHeight="1" x14ac:dyDescent="0.25">
      <c r="A59" s="127">
        <v>97</v>
      </c>
      <c r="B59" s="127" t="s">
        <v>264</v>
      </c>
      <c r="C59" s="129" t="s">
        <v>183</v>
      </c>
      <c r="D59" s="128"/>
      <c r="E59" s="142" t="s">
        <v>409</v>
      </c>
      <c r="F59" s="129"/>
      <c r="G59" s="129" t="s">
        <v>28</v>
      </c>
      <c r="H59" s="129" t="s">
        <v>29</v>
      </c>
      <c r="I59" s="147"/>
      <c r="J59" s="129" t="s">
        <v>351</v>
      </c>
      <c r="K59" s="130" t="s">
        <v>49</v>
      </c>
      <c r="L59" s="126" t="s">
        <v>186</v>
      </c>
      <c r="M59" s="128" t="s">
        <v>132</v>
      </c>
      <c r="N59" s="131" t="s">
        <v>174</v>
      </c>
      <c r="O59" s="132">
        <v>42705</v>
      </c>
      <c r="P59" s="132">
        <v>42725</v>
      </c>
      <c r="Q59" s="132" t="s">
        <v>314</v>
      </c>
      <c r="R59" s="132">
        <v>42732</v>
      </c>
      <c r="S59" s="132">
        <v>42749</v>
      </c>
      <c r="T59" s="132">
        <v>42788</v>
      </c>
      <c r="U59" s="132">
        <v>42802</v>
      </c>
      <c r="V59" s="132">
        <v>42802</v>
      </c>
      <c r="W59" s="131"/>
      <c r="Z59" s="133"/>
      <c r="AA59" s="133"/>
      <c r="AB59" s="133"/>
      <c r="AC59" s="133"/>
    </row>
    <row r="60" spans="1:29" customFormat="1" ht="25.5" customHeight="1" x14ac:dyDescent="0.25">
      <c r="A60" s="127">
        <v>98</v>
      </c>
      <c r="B60" s="127" t="s">
        <v>264</v>
      </c>
      <c r="C60" s="153"/>
      <c r="D60" s="153"/>
      <c r="E60" s="142" t="s">
        <v>410</v>
      </c>
      <c r="F60" s="127"/>
      <c r="G60" s="127" t="s">
        <v>64</v>
      </c>
      <c r="H60" s="127" t="s">
        <v>29</v>
      </c>
      <c r="I60" s="147"/>
      <c r="J60" s="129" t="s">
        <v>351</v>
      </c>
      <c r="K60" s="156" t="s">
        <v>49</v>
      </c>
      <c r="L60" s="153"/>
      <c r="M60" s="153"/>
      <c r="N60" s="155">
        <v>42690</v>
      </c>
      <c r="O60" s="155">
        <v>42690</v>
      </c>
      <c r="P60" s="155">
        <v>42691</v>
      </c>
      <c r="Q60" s="154" t="s">
        <v>315</v>
      </c>
      <c r="R60" s="155">
        <v>42702</v>
      </c>
      <c r="S60" s="155">
        <v>42705</v>
      </c>
      <c r="T60" s="155">
        <v>42736</v>
      </c>
      <c r="U60" s="155">
        <v>42791</v>
      </c>
      <c r="V60" s="155">
        <v>42789</v>
      </c>
      <c r="W60" s="155"/>
      <c r="Z60" s="133"/>
      <c r="AA60" s="133"/>
      <c r="AB60" s="133"/>
      <c r="AC60" s="133"/>
    </row>
    <row r="61" spans="1:29" customFormat="1" ht="25.5" customHeight="1" x14ac:dyDescent="0.25">
      <c r="A61" s="127">
        <v>99</v>
      </c>
      <c r="B61" s="127" t="s">
        <v>264</v>
      </c>
      <c r="C61" s="153"/>
      <c r="D61" s="153"/>
      <c r="E61" s="142" t="s">
        <v>411</v>
      </c>
      <c r="F61" s="127"/>
      <c r="G61" s="127" t="s">
        <v>64</v>
      </c>
      <c r="H61" s="127" t="s">
        <v>44</v>
      </c>
      <c r="I61" s="147"/>
      <c r="J61" s="129" t="s">
        <v>351</v>
      </c>
      <c r="K61" s="156" t="s">
        <v>49</v>
      </c>
      <c r="L61" s="153"/>
      <c r="M61" s="153"/>
      <c r="N61" s="155">
        <v>42690</v>
      </c>
      <c r="O61" s="155">
        <v>42690</v>
      </c>
      <c r="P61" s="155">
        <v>42691</v>
      </c>
      <c r="Q61" s="154" t="s">
        <v>316</v>
      </c>
      <c r="R61" s="155">
        <v>42703</v>
      </c>
      <c r="S61" s="155">
        <v>42710</v>
      </c>
      <c r="T61" s="155">
        <v>42768</v>
      </c>
      <c r="U61" s="155">
        <v>42788</v>
      </c>
      <c r="V61" s="155">
        <v>42789</v>
      </c>
      <c r="W61" s="155"/>
      <c r="Z61" s="133"/>
      <c r="AA61" s="133"/>
      <c r="AB61" s="133"/>
      <c r="AC61" s="133"/>
    </row>
    <row r="62" spans="1:29" customFormat="1" ht="25.5" customHeight="1" x14ac:dyDescent="0.25">
      <c r="A62" s="127">
        <v>100</v>
      </c>
      <c r="B62" s="127" t="s">
        <v>264</v>
      </c>
      <c r="C62" s="153" t="s">
        <v>197</v>
      </c>
      <c r="D62" s="153" t="s">
        <v>198</v>
      </c>
      <c r="E62" s="142" t="s">
        <v>412</v>
      </c>
      <c r="F62" s="127"/>
      <c r="G62" s="127" t="s">
        <v>48</v>
      </c>
      <c r="H62" s="174" t="s">
        <v>79</v>
      </c>
      <c r="I62" s="147"/>
      <c r="J62" s="129" t="s">
        <v>351</v>
      </c>
      <c r="K62" s="165" t="s">
        <v>87</v>
      </c>
      <c r="L62" s="131"/>
      <c r="M62" s="128"/>
      <c r="N62" s="155">
        <v>42604</v>
      </c>
      <c r="O62" s="155">
        <v>42604</v>
      </c>
      <c r="P62" s="155">
        <v>42619</v>
      </c>
      <c r="Q62" s="127" t="s">
        <v>317</v>
      </c>
      <c r="R62" s="155">
        <v>42633</v>
      </c>
      <c r="S62" s="155">
        <v>42658</v>
      </c>
      <c r="T62" s="155">
        <v>42701</v>
      </c>
      <c r="U62" s="157">
        <v>42745</v>
      </c>
      <c r="V62" s="132">
        <v>42749</v>
      </c>
      <c r="W62" s="131"/>
      <c r="Z62" s="133"/>
      <c r="AA62" s="133"/>
      <c r="AB62" s="133"/>
      <c r="AC62" s="133"/>
    </row>
    <row r="63" spans="1:29" x14ac:dyDescent="0.2">
      <c r="A63" s="127">
        <v>101</v>
      </c>
      <c r="B63" s="127"/>
      <c r="C63" s="153"/>
      <c r="D63" s="153"/>
      <c r="E63" s="142" t="s">
        <v>413</v>
      </c>
      <c r="F63" s="127"/>
      <c r="G63" s="127"/>
      <c r="H63" s="174"/>
      <c r="I63" s="147"/>
      <c r="J63" s="129" t="s">
        <v>351</v>
      </c>
      <c r="K63" s="165"/>
      <c r="L63" s="131"/>
      <c r="M63" s="128"/>
      <c r="N63" s="131"/>
      <c r="O63" s="155"/>
      <c r="P63" s="155"/>
      <c r="Q63" s="127"/>
      <c r="R63" s="155"/>
      <c r="S63" s="155"/>
      <c r="T63" s="155"/>
      <c r="U63" s="157"/>
      <c r="V63" s="132"/>
      <c r="W63" s="131"/>
      <c r="Z63" s="133"/>
      <c r="AA63" s="133"/>
      <c r="AB63" s="133"/>
      <c r="AC63" s="133"/>
    </row>
    <row r="64" spans="1:29" customFormat="1" ht="25.5" customHeight="1" x14ac:dyDescent="0.25">
      <c r="A64" s="127">
        <v>102</v>
      </c>
      <c r="B64" s="127" t="s">
        <v>264</v>
      </c>
      <c r="C64" s="153"/>
      <c r="D64" s="153"/>
      <c r="E64" s="142" t="s">
        <v>414</v>
      </c>
      <c r="F64" s="127"/>
      <c r="G64" s="127" t="s">
        <v>28</v>
      </c>
      <c r="H64" s="127" t="s">
        <v>29</v>
      </c>
      <c r="I64" s="147"/>
      <c r="J64" s="129" t="s">
        <v>351</v>
      </c>
      <c r="K64" s="156" t="s">
        <v>49</v>
      </c>
      <c r="L64" s="153"/>
      <c r="M64" s="153"/>
      <c r="N64" s="155">
        <v>42690</v>
      </c>
      <c r="O64" s="155">
        <v>42690</v>
      </c>
      <c r="P64" s="155">
        <v>42691</v>
      </c>
      <c r="Q64" s="154" t="s">
        <v>318</v>
      </c>
      <c r="R64" s="155">
        <v>42710</v>
      </c>
      <c r="S64" s="155">
        <v>42730</v>
      </c>
      <c r="T64" s="155">
        <v>42776</v>
      </c>
      <c r="U64" s="155">
        <v>42788</v>
      </c>
      <c r="V64" s="155">
        <v>42785</v>
      </c>
      <c r="W64" s="155"/>
      <c r="Z64" s="133"/>
      <c r="AA64" s="133"/>
      <c r="AB64" s="133"/>
      <c r="AC64" s="133"/>
    </row>
    <row r="65" spans="1:29" customFormat="1" ht="25.5" customHeight="1" x14ac:dyDescent="0.25">
      <c r="A65" s="127">
        <v>103</v>
      </c>
      <c r="B65" s="127" t="s">
        <v>264</v>
      </c>
      <c r="C65" s="153"/>
      <c r="D65" s="153"/>
      <c r="E65" s="142" t="s">
        <v>415</v>
      </c>
      <c r="F65" s="127"/>
      <c r="G65" s="127" t="s">
        <v>48</v>
      </c>
      <c r="H65" s="174" t="s">
        <v>29</v>
      </c>
      <c r="I65" s="147"/>
      <c r="J65" s="129" t="s">
        <v>351</v>
      </c>
      <c r="K65" s="165" t="s">
        <v>49</v>
      </c>
      <c r="L65" s="128"/>
      <c r="M65" s="128"/>
      <c r="N65" s="155">
        <v>42675</v>
      </c>
      <c r="O65" s="155">
        <v>42675</v>
      </c>
      <c r="P65" s="155">
        <v>42677</v>
      </c>
      <c r="Q65" s="127" t="s">
        <v>319</v>
      </c>
      <c r="R65" s="155">
        <v>42688</v>
      </c>
      <c r="S65" s="155">
        <v>42696</v>
      </c>
      <c r="T65" s="155">
        <v>42731</v>
      </c>
      <c r="U65" s="132">
        <v>42740</v>
      </c>
      <c r="V65" s="132">
        <v>42740</v>
      </c>
      <c r="W65" s="131">
        <v>42778</v>
      </c>
      <c r="Z65" s="133"/>
      <c r="AA65" s="133"/>
      <c r="AB65" s="133"/>
      <c r="AC65" s="133"/>
    </row>
    <row r="66" spans="1:29" x14ac:dyDescent="0.2">
      <c r="A66" s="127">
        <v>104</v>
      </c>
      <c r="B66" s="127" t="s">
        <v>264</v>
      </c>
      <c r="C66" s="129"/>
      <c r="D66" s="128"/>
      <c r="E66" s="142" t="s">
        <v>416</v>
      </c>
      <c r="F66" s="129"/>
      <c r="G66" s="129" t="s">
        <v>64</v>
      </c>
      <c r="H66" s="129" t="s">
        <v>79</v>
      </c>
      <c r="I66" s="130"/>
      <c r="J66" s="129" t="s">
        <v>351</v>
      </c>
      <c r="K66" s="130" t="s">
        <v>49</v>
      </c>
      <c r="L66" s="126"/>
      <c r="M66" s="128"/>
      <c r="N66" s="132">
        <v>42710</v>
      </c>
      <c r="O66" s="132">
        <v>42710</v>
      </c>
      <c r="P66" s="132">
        <v>42711</v>
      </c>
      <c r="Q66" s="132" t="s">
        <v>320</v>
      </c>
      <c r="R66" s="132">
        <v>42722</v>
      </c>
      <c r="S66" s="132">
        <v>42723</v>
      </c>
      <c r="T66" s="132">
        <v>42741</v>
      </c>
      <c r="U66" s="132">
        <v>42751</v>
      </c>
      <c r="V66" s="132">
        <v>42743</v>
      </c>
      <c r="W66" s="131"/>
      <c r="Z66" s="133"/>
      <c r="AA66" s="133"/>
      <c r="AB66" s="133"/>
      <c r="AC66" s="133"/>
    </row>
    <row r="67" spans="1:29" customFormat="1" ht="25.5" customHeight="1" x14ac:dyDescent="0.25">
      <c r="A67" s="127">
        <v>105</v>
      </c>
      <c r="B67" s="127" t="s">
        <v>264</v>
      </c>
      <c r="C67" s="153"/>
      <c r="D67" s="153"/>
      <c r="E67" s="142" t="s">
        <v>417</v>
      </c>
      <c r="F67" s="127"/>
      <c r="G67" s="127" t="s">
        <v>64</v>
      </c>
      <c r="H67" s="174" t="s">
        <v>29</v>
      </c>
      <c r="I67" s="147"/>
      <c r="J67" s="129" t="s">
        <v>351</v>
      </c>
      <c r="K67" s="165" t="s">
        <v>49</v>
      </c>
      <c r="L67" s="128"/>
      <c r="M67" s="128"/>
      <c r="N67" s="155">
        <v>42674</v>
      </c>
      <c r="O67" s="155">
        <v>42674</v>
      </c>
      <c r="P67" s="155">
        <v>42675</v>
      </c>
      <c r="Q67" s="127" t="s">
        <v>321</v>
      </c>
      <c r="R67" s="155">
        <v>42688</v>
      </c>
      <c r="S67" s="155">
        <v>42689</v>
      </c>
      <c r="T67" s="155">
        <v>42731</v>
      </c>
      <c r="U67" s="157">
        <v>42740</v>
      </c>
      <c r="V67" s="157">
        <v>42740</v>
      </c>
      <c r="W67" s="131"/>
      <c r="Z67" s="133"/>
      <c r="AA67" s="133"/>
      <c r="AB67" s="133"/>
      <c r="AC67" s="133"/>
    </row>
    <row r="68" spans="1:29" customFormat="1" ht="25.5" customHeight="1" x14ac:dyDescent="0.25">
      <c r="A68" s="127">
        <v>106</v>
      </c>
      <c r="B68" s="127" t="s">
        <v>264</v>
      </c>
      <c r="C68" s="153"/>
      <c r="D68" s="153"/>
      <c r="E68" s="142" t="s">
        <v>418</v>
      </c>
      <c r="F68" s="127"/>
      <c r="G68" s="127" t="s">
        <v>64</v>
      </c>
      <c r="H68" s="174" t="s">
        <v>29</v>
      </c>
      <c r="I68" s="147"/>
      <c r="J68" s="129" t="s">
        <v>351</v>
      </c>
      <c r="K68" s="165" t="s">
        <v>49</v>
      </c>
      <c r="L68" s="128"/>
      <c r="M68" s="128"/>
      <c r="N68" s="155">
        <v>42676</v>
      </c>
      <c r="O68" s="155">
        <v>42676</v>
      </c>
      <c r="P68" s="155">
        <v>42677</v>
      </c>
      <c r="Q68" s="127" t="s">
        <v>322</v>
      </c>
      <c r="R68" s="155">
        <v>42688</v>
      </c>
      <c r="S68" s="155">
        <v>42691</v>
      </c>
      <c r="T68" s="155">
        <v>42731</v>
      </c>
      <c r="U68" s="157">
        <v>42740</v>
      </c>
      <c r="V68" s="157">
        <v>42740</v>
      </c>
      <c r="W68" s="131"/>
      <c r="Z68" s="133"/>
      <c r="AA68" s="133"/>
      <c r="AB68" s="133"/>
      <c r="AC68" s="133"/>
    </row>
    <row r="69" spans="1:29" customFormat="1" ht="25.5" customHeight="1" x14ac:dyDescent="0.25">
      <c r="A69" s="127">
        <v>107</v>
      </c>
      <c r="B69" s="127" t="s">
        <v>264</v>
      </c>
      <c r="C69" s="153"/>
      <c r="D69" s="153"/>
      <c r="E69" s="142" t="s">
        <v>419</v>
      </c>
      <c r="F69" s="127"/>
      <c r="G69" s="127" t="s">
        <v>64</v>
      </c>
      <c r="H69" s="174" t="s">
        <v>29</v>
      </c>
      <c r="I69" s="147"/>
      <c r="J69" s="129" t="s">
        <v>351</v>
      </c>
      <c r="K69" s="165" t="s">
        <v>49</v>
      </c>
      <c r="L69" s="128"/>
      <c r="M69" s="128"/>
      <c r="N69" s="155">
        <v>42638</v>
      </c>
      <c r="O69" s="155">
        <v>42638</v>
      </c>
      <c r="P69" s="155">
        <v>42646</v>
      </c>
      <c r="Q69" s="127" t="s">
        <v>323</v>
      </c>
      <c r="R69" s="155">
        <v>42660</v>
      </c>
      <c r="S69" s="155">
        <v>42670</v>
      </c>
      <c r="T69" s="155">
        <v>42697</v>
      </c>
      <c r="U69" s="157">
        <v>42747</v>
      </c>
      <c r="V69" s="157">
        <v>42746</v>
      </c>
      <c r="W69" s="131"/>
      <c r="Z69" s="133"/>
      <c r="AA69" s="133"/>
      <c r="AB69" s="133"/>
      <c r="AC69" s="133"/>
    </row>
    <row r="70" spans="1:29" customFormat="1" ht="25.5" customHeight="1" x14ac:dyDescent="0.25">
      <c r="A70" s="127">
        <v>108</v>
      </c>
      <c r="B70" s="127" t="s">
        <v>264</v>
      </c>
      <c r="C70" s="153"/>
      <c r="D70" s="153"/>
      <c r="E70" s="142" t="s">
        <v>420</v>
      </c>
      <c r="F70" s="127"/>
      <c r="G70" s="127" t="s">
        <v>64</v>
      </c>
      <c r="H70" s="174" t="s">
        <v>29</v>
      </c>
      <c r="I70" s="147"/>
      <c r="J70" s="129" t="s">
        <v>351</v>
      </c>
      <c r="K70" s="165" t="s">
        <v>49</v>
      </c>
      <c r="L70" s="128"/>
      <c r="M70" s="128"/>
      <c r="N70" s="155">
        <v>42676</v>
      </c>
      <c r="O70" s="155">
        <v>42676</v>
      </c>
      <c r="P70" s="155">
        <v>42677</v>
      </c>
      <c r="Q70" s="127" t="s">
        <v>324</v>
      </c>
      <c r="R70" s="155">
        <v>42689</v>
      </c>
      <c r="S70" s="155">
        <v>42699</v>
      </c>
      <c r="T70" s="155">
        <v>42747</v>
      </c>
      <c r="U70" s="157">
        <v>42752</v>
      </c>
      <c r="V70" s="132">
        <v>42751</v>
      </c>
      <c r="W70" s="131"/>
      <c r="Z70" s="133"/>
      <c r="AA70" s="133"/>
      <c r="AB70" s="133"/>
      <c r="AC70" s="133"/>
    </row>
    <row r="71" spans="1:29" x14ac:dyDescent="0.2">
      <c r="A71" s="127">
        <v>109</v>
      </c>
      <c r="B71" s="127" t="s">
        <v>264</v>
      </c>
      <c r="C71" s="153"/>
      <c r="D71" s="153"/>
      <c r="E71" s="142" t="s">
        <v>421</v>
      </c>
      <c r="F71" s="127"/>
      <c r="G71" s="127" t="s">
        <v>64</v>
      </c>
      <c r="H71" s="127" t="s">
        <v>29</v>
      </c>
      <c r="I71" s="130"/>
      <c r="J71" s="129" t="s">
        <v>351</v>
      </c>
      <c r="K71" s="156" t="s">
        <v>49</v>
      </c>
      <c r="L71" s="131"/>
      <c r="M71" s="131"/>
      <c r="N71" s="155">
        <v>42685</v>
      </c>
      <c r="O71" s="155">
        <v>42685</v>
      </c>
      <c r="P71" s="155">
        <v>42656</v>
      </c>
      <c r="Q71" s="154" t="s">
        <v>325</v>
      </c>
      <c r="R71" s="155">
        <v>42703</v>
      </c>
      <c r="S71" s="155">
        <v>42705</v>
      </c>
      <c r="T71" s="155">
        <v>42755</v>
      </c>
      <c r="U71" s="132">
        <v>42766</v>
      </c>
      <c r="V71" s="132">
        <v>42764</v>
      </c>
      <c r="W71" s="131"/>
      <c r="Z71" s="133"/>
      <c r="AA71" s="133"/>
      <c r="AB71" s="133"/>
      <c r="AC71" s="133"/>
    </row>
    <row r="72" spans="1:29" customFormat="1" ht="25.5" customHeight="1" x14ac:dyDescent="0.25">
      <c r="A72" s="127">
        <v>110</v>
      </c>
      <c r="B72" s="127" t="s">
        <v>264</v>
      </c>
      <c r="C72" s="153"/>
      <c r="D72" s="153"/>
      <c r="E72" s="142" t="s">
        <v>422</v>
      </c>
      <c r="F72" s="127"/>
      <c r="G72" s="127" t="s">
        <v>64</v>
      </c>
      <c r="H72" s="174" t="s">
        <v>29</v>
      </c>
      <c r="I72" s="147"/>
      <c r="J72" s="129" t="s">
        <v>351</v>
      </c>
      <c r="K72" s="165" t="s">
        <v>49</v>
      </c>
      <c r="L72" s="128"/>
      <c r="M72" s="128"/>
      <c r="N72" s="155">
        <v>42676</v>
      </c>
      <c r="O72" s="155">
        <v>42676</v>
      </c>
      <c r="P72" s="155">
        <v>42677</v>
      </c>
      <c r="Q72" s="127" t="s">
        <v>326</v>
      </c>
      <c r="R72" s="155">
        <v>42689</v>
      </c>
      <c r="S72" s="155">
        <v>42699</v>
      </c>
      <c r="T72" s="155">
        <v>42752</v>
      </c>
      <c r="U72" s="157">
        <v>42760</v>
      </c>
      <c r="V72" s="157">
        <v>42761</v>
      </c>
      <c r="W72" s="131"/>
      <c r="Z72" s="133"/>
      <c r="AA72" s="133"/>
      <c r="AB72" s="133"/>
      <c r="AC72" s="133"/>
    </row>
    <row r="73" spans="1:29" customFormat="1" ht="25.5" customHeight="1" x14ac:dyDescent="0.25">
      <c r="A73" s="127">
        <v>111</v>
      </c>
      <c r="B73" s="127" t="s">
        <v>264</v>
      </c>
      <c r="C73" s="153"/>
      <c r="D73" s="153"/>
      <c r="E73" s="142" t="s">
        <v>423</v>
      </c>
      <c r="F73" s="127"/>
      <c r="G73" s="127" t="s">
        <v>64</v>
      </c>
      <c r="H73" s="174" t="s">
        <v>44</v>
      </c>
      <c r="I73" s="147"/>
      <c r="J73" s="129" t="s">
        <v>351</v>
      </c>
      <c r="K73" s="165" t="s">
        <v>49</v>
      </c>
      <c r="L73" s="128"/>
      <c r="M73" s="128"/>
      <c r="N73" s="155">
        <v>42632</v>
      </c>
      <c r="O73" s="155">
        <v>42632</v>
      </c>
      <c r="P73" s="155">
        <v>42632</v>
      </c>
      <c r="Q73" s="127" t="s">
        <v>327</v>
      </c>
      <c r="R73" s="155">
        <v>42660</v>
      </c>
      <c r="S73" s="155">
        <v>42667</v>
      </c>
      <c r="T73" s="155">
        <v>42734</v>
      </c>
      <c r="U73" s="157">
        <v>42743</v>
      </c>
      <c r="V73" s="157">
        <v>42743</v>
      </c>
      <c r="W73" s="131"/>
      <c r="Z73" s="133"/>
      <c r="AA73" s="133"/>
      <c r="AB73" s="133"/>
      <c r="AC73" s="133"/>
    </row>
    <row r="74" spans="1:29" customFormat="1" ht="25.5" customHeight="1" x14ac:dyDescent="0.25">
      <c r="A74" s="127">
        <v>112</v>
      </c>
      <c r="B74" s="127" t="s">
        <v>264</v>
      </c>
      <c r="C74" s="153" t="s">
        <v>350</v>
      </c>
      <c r="D74" s="153" t="s">
        <v>199</v>
      </c>
      <c r="E74" s="142" t="s">
        <v>424</v>
      </c>
      <c r="F74" s="127"/>
      <c r="G74" s="127" t="s">
        <v>48</v>
      </c>
      <c r="H74" s="127" t="s">
        <v>29</v>
      </c>
      <c r="I74" s="147"/>
      <c r="J74" s="129" t="s">
        <v>351</v>
      </c>
      <c r="K74" s="156" t="s">
        <v>49</v>
      </c>
      <c r="L74" s="153" t="s">
        <v>200</v>
      </c>
      <c r="M74" s="153" t="s">
        <v>201</v>
      </c>
      <c r="N74" s="155">
        <v>42676</v>
      </c>
      <c r="O74" s="155">
        <v>42676</v>
      </c>
      <c r="P74" s="155">
        <v>42687</v>
      </c>
      <c r="Q74" s="154" t="s">
        <v>328</v>
      </c>
      <c r="R74" s="155">
        <v>42696</v>
      </c>
      <c r="S74" s="155">
        <v>42698</v>
      </c>
      <c r="T74" s="155">
        <v>42718</v>
      </c>
      <c r="U74" s="155">
        <v>42730</v>
      </c>
      <c r="V74" s="155">
        <v>42733</v>
      </c>
      <c r="W74" s="155">
        <v>42759</v>
      </c>
      <c r="Z74" s="133"/>
      <c r="AA74" s="133"/>
      <c r="AB74" s="133"/>
      <c r="AC74" s="133"/>
    </row>
    <row r="75" spans="1:29" customFormat="1" ht="25.5" customHeight="1" x14ac:dyDescent="0.25">
      <c r="A75" s="127">
        <v>113</v>
      </c>
      <c r="B75" s="127" t="s">
        <v>264</v>
      </c>
      <c r="C75" s="153"/>
      <c r="D75" s="153"/>
      <c r="E75" s="142" t="s">
        <v>425</v>
      </c>
      <c r="F75" s="127"/>
      <c r="G75" s="127" t="s">
        <v>64</v>
      </c>
      <c r="H75" s="174" t="s">
        <v>44</v>
      </c>
      <c r="I75" s="147"/>
      <c r="J75" s="129" t="s">
        <v>351</v>
      </c>
      <c r="K75" s="165" t="s">
        <v>49</v>
      </c>
      <c r="L75" s="128"/>
      <c r="M75" s="128"/>
      <c r="N75" s="155">
        <v>42632</v>
      </c>
      <c r="O75" s="155">
        <v>42632</v>
      </c>
      <c r="P75" s="155">
        <v>42632</v>
      </c>
      <c r="Q75" s="127" t="s">
        <v>329</v>
      </c>
      <c r="R75" s="155">
        <v>42660</v>
      </c>
      <c r="S75" s="155">
        <v>42668</v>
      </c>
      <c r="T75" s="155">
        <v>43086</v>
      </c>
      <c r="U75" s="157">
        <v>42731</v>
      </c>
      <c r="V75" s="132">
        <v>42736</v>
      </c>
      <c r="W75" s="131"/>
      <c r="Z75" s="133"/>
      <c r="AA75" s="133"/>
      <c r="AB75" s="133"/>
      <c r="AC75" s="133"/>
    </row>
    <row r="76" spans="1:29" customFormat="1" ht="25.5" customHeight="1" x14ac:dyDescent="0.25">
      <c r="A76" s="127">
        <v>114</v>
      </c>
      <c r="B76" s="127" t="s">
        <v>264</v>
      </c>
      <c r="C76" s="153"/>
      <c r="D76" s="153"/>
      <c r="E76" s="142" t="s">
        <v>426</v>
      </c>
      <c r="F76" s="127"/>
      <c r="G76" s="127" t="s">
        <v>64</v>
      </c>
      <c r="H76" s="174" t="s">
        <v>29</v>
      </c>
      <c r="I76" s="147"/>
      <c r="J76" s="129" t="s">
        <v>351</v>
      </c>
      <c r="K76" s="165" t="s">
        <v>49</v>
      </c>
      <c r="L76" s="128"/>
      <c r="M76" s="128"/>
      <c r="N76" s="155">
        <v>42674</v>
      </c>
      <c r="O76" s="155">
        <v>42674</v>
      </c>
      <c r="P76" s="155">
        <v>42675</v>
      </c>
      <c r="Q76" s="127" t="s">
        <v>330</v>
      </c>
      <c r="R76" s="155">
        <v>42688</v>
      </c>
      <c r="S76" s="155">
        <v>42689</v>
      </c>
      <c r="T76" s="155">
        <v>42727</v>
      </c>
      <c r="U76" s="132">
        <v>42735</v>
      </c>
      <c r="V76" s="132">
        <v>42733</v>
      </c>
      <c r="W76" s="131"/>
      <c r="Z76" s="133"/>
      <c r="AA76" s="133"/>
      <c r="AB76" s="133"/>
      <c r="AC76" s="133"/>
    </row>
    <row r="77" spans="1:29" customFormat="1" ht="25.5" customHeight="1" x14ac:dyDescent="0.25">
      <c r="A77" s="127">
        <v>115</v>
      </c>
      <c r="B77" s="175" t="s">
        <v>264</v>
      </c>
      <c r="C77" s="153"/>
      <c r="D77" s="153"/>
      <c r="E77" s="142" t="s">
        <v>427</v>
      </c>
      <c r="F77" s="127"/>
      <c r="G77" s="175" t="s">
        <v>64</v>
      </c>
      <c r="H77" s="127"/>
      <c r="I77" s="176"/>
      <c r="J77" s="129" t="s">
        <v>351</v>
      </c>
      <c r="K77" s="178" t="s">
        <v>49</v>
      </c>
      <c r="L77" s="153"/>
      <c r="M77" s="153"/>
      <c r="N77" s="179">
        <v>42688</v>
      </c>
      <c r="O77" s="179">
        <v>42688</v>
      </c>
      <c r="P77" s="179">
        <v>42689</v>
      </c>
      <c r="Q77" s="177" t="s">
        <v>331</v>
      </c>
      <c r="R77" s="179">
        <v>42704</v>
      </c>
      <c r="S77" s="179">
        <v>42711</v>
      </c>
      <c r="T77" s="179">
        <v>42718</v>
      </c>
      <c r="U77" s="179">
        <v>42731</v>
      </c>
      <c r="V77" s="155"/>
      <c r="W77" s="155"/>
      <c r="Z77" s="133"/>
      <c r="AA77" s="133"/>
      <c r="AB77" s="133"/>
      <c r="AC77" s="133"/>
    </row>
    <row r="78" spans="1:29" customFormat="1" ht="25.5" customHeight="1" x14ac:dyDescent="0.25">
      <c r="A78" s="127">
        <v>116</v>
      </c>
      <c r="B78" s="175" t="s">
        <v>264</v>
      </c>
      <c r="C78" s="153"/>
      <c r="D78" s="153"/>
      <c r="E78" s="142" t="s">
        <v>428</v>
      </c>
      <c r="F78" s="127"/>
      <c r="G78" s="175" t="s">
        <v>64</v>
      </c>
      <c r="H78" s="180" t="s">
        <v>29</v>
      </c>
      <c r="I78" s="176"/>
      <c r="J78" s="129" t="s">
        <v>351</v>
      </c>
      <c r="K78" s="181" t="s">
        <v>49</v>
      </c>
      <c r="L78" s="128"/>
      <c r="M78" s="128"/>
      <c r="N78" s="179">
        <v>42666</v>
      </c>
      <c r="O78" s="179">
        <v>42666</v>
      </c>
      <c r="P78" s="179">
        <v>42666</v>
      </c>
      <c r="Q78" s="175" t="s">
        <v>332</v>
      </c>
      <c r="R78" s="179">
        <v>42670</v>
      </c>
      <c r="S78" s="179">
        <v>42670</v>
      </c>
      <c r="T78" s="179">
        <v>42697</v>
      </c>
      <c r="U78" s="182">
        <v>42709</v>
      </c>
      <c r="V78" s="132"/>
      <c r="W78" s="131"/>
      <c r="Z78" s="133"/>
      <c r="AA78" s="133"/>
      <c r="AB78" s="133"/>
      <c r="AC78" s="133"/>
    </row>
    <row r="79" spans="1:29" customFormat="1" ht="25.5" customHeight="1" x14ac:dyDescent="0.25">
      <c r="A79" s="127">
        <v>117</v>
      </c>
      <c r="B79" s="175" t="s">
        <v>264</v>
      </c>
      <c r="C79" s="183" t="s">
        <v>202</v>
      </c>
      <c r="D79" s="153"/>
      <c r="E79" s="142" t="s">
        <v>429</v>
      </c>
      <c r="F79" s="175"/>
      <c r="G79" s="175" t="s">
        <v>64</v>
      </c>
      <c r="H79" s="180" t="s">
        <v>29</v>
      </c>
      <c r="I79" s="176"/>
      <c r="J79" s="129" t="s">
        <v>351</v>
      </c>
      <c r="K79" s="181" t="s">
        <v>49</v>
      </c>
      <c r="L79" s="155"/>
      <c r="M79" s="155"/>
      <c r="N79" s="179">
        <v>42570</v>
      </c>
      <c r="O79" s="179">
        <v>42570</v>
      </c>
      <c r="P79" s="179">
        <v>42568</v>
      </c>
      <c r="Q79" s="155"/>
      <c r="R79" s="179">
        <v>42576</v>
      </c>
      <c r="S79" s="179">
        <v>42584</v>
      </c>
      <c r="T79" s="179">
        <v>42622</v>
      </c>
      <c r="U79" s="155"/>
      <c r="V79" s="155"/>
      <c r="W79" s="155"/>
      <c r="Z79" s="133"/>
      <c r="AA79" s="133"/>
      <c r="AB79" s="133"/>
      <c r="AC79" s="133"/>
    </row>
    <row r="80" spans="1:29" customFormat="1" ht="25.5" customHeight="1" x14ac:dyDescent="0.25">
      <c r="A80" s="127">
        <v>118</v>
      </c>
      <c r="B80" s="175" t="s">
        <v>264</v>
      </c>
      <c r="C80" s="153"/>
      <c r="D80" s="153"/>
      <c r="E80" s="142" t="s">
        <v>430</v>
      </c>
      <c r="F80" s="127"/>
      <c r="G80" s="175" t="s">
        <v>64</v>
      </c>
      <c r="H80" s="180" t="s">
        <v>29</v>
      </c>
      <c r="I80" s="176"/>
      <c r="J80" s="129" t="s">
        <v>351</v>
      </c>
      <c r="K80" s="181" t="s">
        <v>49</v>
      </c>
      <c r="L80" s="155"/>
      <c r="M80" s="155"/>
      <c r="N80" s="179">
        <v>42568</v>
      </c>
      <c r="O80" s="179">
        <v>42568</v>
      </c>
      <c r="P80" s="179">
        <v>42568</v>
      </c>
      <c r="Q80" s="155"/>
      <c r="R80" s="179">
        <v>42578</v>
      </c>
      <c r="S80" s="179">
        <v>42579</v>
      </c>
      <c r="T80" s="179">
        <v>42598</v>
      </c>
      <c r="U80" s="155"/>
      <c r="V80" s="155"/>
      <c r="W80" s="155"/>
      <c r="Z80" s="133"/>
      <c r="AA80" s="133"/>
      <c r="AB80" s="133"/>
      <c r="AC80" s="133"/>
    </row>
    <row r="81" spans="1:29" customFormat="1" ht="25.5" customHeight="1" x14ac:dyDescent="0.25">
      <c r="A81" s="127">
        <v>119</v>
      </c>
      <c r="B81" s="175" t="s">
        <v>264</v>
      </c>
      <c r="C81" s="183" t="s">
        <v>202</v>
      </c>
      <c r="D81" s="153"/>
      <c r="E81" s="142" t="s">
        <v>431</v>
      </c>
      <c r="F81" s="175"/>
      <c r="G81" s="175" t="s">
        <v>64</v>
      </c>
      <c r="H81" s="180" t="s">
        <v>79</v>
      </c>
      <c r="I81" s="176"/>
      <c r="J81" s="129" t="s">
        <v>351</v>
      </c>
      <c r="K81" s="181" t="s">
        <v>49</v>
      </c>
      <c r="L81" s="131"/>
      <c r="M81" s="131"/>
      <c r="N81" s="179">
        <v>42593</v>
      </c>
      <c r="O81" s="179">
        <v>42593</v>
      </c>
      <c r="P81" s="179">
        <v>42593</v>
      </c>
      <c r="Q81" s="155"/>
      <c r="R81" s="179">
        <v>42607</v>
      </c>
      <c r="S81" s="179">
        <v>42618</v>
      </c>
      <c r="T81" s="179">
        <v>42622</v>
      </c>
      <c r="U81" s="132"/>
      <c r="V81" s="132"/>
      <c r="W81" s="131"/>
      <c r="Z81" s="133"/>
      <c r="AA81" s="133"/>
      <c r="AB81" s="133"/>
      <c r="AC81" s="133"/>
    </row>
    <row r="82" spans="1:29" customFormat="1" ht="25.5" customHeight="1" x14ac:dyDescent="0.25">
      <c r="A82" s="127">
        <v>120</v>
      </c>
      <c r="B82" s="175" t="s">
        <v>264</v>
      </c>
      <c r="C82" s="183" t="s">
        <v>203</v>
      </c>
      <c r="D82" s="183" t="s">
        <v>204</v>
      </c>
      <c r="E82" s="142" t="s">
        <v>432</v>
      </c>
      <c r="F82" s="175"/>
      <c r="G82" s="175" t="s">
        <v>64</v>
      </c>
      <c r="H82" s="180" t="s">
        <v>29</v>
      </c>
      <c r="I82" s="176"/>
      <c r="J82" s="129" t="s">
        <v>351</v>
      </c>
      <c r="K82" s="181" t="s">
        <v>49</v>
      </c>
      <c r="L82" s="184" t="s">
        <v>205</v>
      </c>
      <c r="M82" s="184" t="s">
        <v>206</v>
      </c>
      <c r="N82" s="179">
        <v>42593</v>
      </c>
      <c r="O82" s="179">
        <v>42593</v>
      </c>
      <c r="P82" s="179">
        <v>42593</v>
      </c>
      <c r="Q82" s="175" t="s">
        <v>333</v>
      </c>
      <c r="R82" s="179">
        <v>42607</v>
      </c>
      <c r="S82" s="179">
        <v>42609</v>
      </c>
      <c r="T82" s="179">
        <v>42661</v>
      </c>
      <c r="U82" s="132"/>
      <c r="V82" s="132"/>
      <c r="W82" s="131"/>
      <c r="Z82" s="133"/>
      <c r="AA82" s="133"/>
      <c r="AB82" s="133"/>
      <c r="AC82" s="133"/>
    </row>
    <row r="83" spans="1:29" customFormat="1" ht="25.5" customHeight="1" x14ac:dyDescent="0.25">
      <c r="A83" s="127">
        <v>121</v>
      </c>
      <c r="B83" s="175" t="s">
        <v>264</v>
      </c>
      <c r="C83" s="153"/>
      <c r="D83" s="153"/>
      <c r="E83" s="142" t="s">
        <v>433</v>
      </c>
      <c r="F83" s="127"/>
      <c r="G83" s="175" t="s">
        <v>64</v>
      </c>
      <c r="H83" s="180" t="s">
        <v>79</v>
      </c>
      <c r="I83" s="176"/>
      <c r="J83" s="129" t="s">
        <v>351</v>
      </c>
      <c r="K83" s="181" t="s">
        <v>49</v>
      </c>
      <c r="L83" s="185">
        <v>42572</v>
      </c>
      <c r="M83" s="185">
        <v>42572</v>
      </c>
      <c r="N83" s="184">
        <v>42632</v>
      </c>
      <c r="O83" s="179">
        <v>42644</v>
      </c>
      <c r="P83" s="179">
        <v>42646</v>
      </c>
      <c r="Q83" s="175" t="s">
        <v>334</v>
      </c>
      <c r="R83" s="179">
        <v>42660</v>
      </c>
      <c r="S83" s="179">
        <v>42661</v>
      </c>
      <c r="T83" s="179">
        <v>42683</v>
      </c>
      <c r="U83" s="182">
        <v>42687</v>
      </c>
      <c r="V83" s="182">
        <v>42687</v>
      </c>
      <c r="W83" s="184">
        <v>42701</v>
      </c>
      <c r="Z83" s="133"/>
      <c r="AA83" s="133"/>
      <c r="AB83" s="133"/>
      <c r="AC83" s="133"/>
    </row>
    <row r="84" spans="1:29" customFormat="1" ht="25.5" customHeight="1" x14ac:dyDescent="0.25">
      <c r="A84" s="127">
        <v>122</v>
      </c>
      <c r="B84" s="175" t="s">
        <v>264</v>
      </c>
      <c r="C84" s="153"/>
      <c r="D84" s="153"/>
      <c r="E84" s="142" t="s">
        <v>434</v>
      </c>
      <c r="F84" s="127"/>
      <c r="G84" s="175" t="s">
        <v>64</v>
      </c>
      <c r="H84" s="180" t="s">
        <v>29</v>
      </c>
      <c r="I84" s="176"/>
      <c r="J84" s="129" t="s">
        <v>351</v>
      </c>
      <c r="K84" s="181" t="s">
        <v>49</v>
      </c>
      <c r="L84" s="128"/>
      <c r="M84" s="128"/>
      <c r="N84" s="179">
        <v>42676</v>
      </c>
      <c r="O84" s="179">
        <v>42676</v>
      </c>
      <c r="P84" s="179">
        <v>42680</v>
      </c>
      <c r="Q84" s="175" t="s">
        <v>335</v>
      </c>
      <c r="R84" s="179">
        <v>42688</v>
      </c>
      <c r="S84" s="179">
        <v>42689</v>
      </c>
      <c r="T84" s="179">
        <v>42706</v>
      </c>
      <c r="U84" s="182">
        <v>42719</v>
      </c>
      <c r="V84" s="132"/>
      <c r="W84" s="131"/>
      <c r="Z84" s="133"/>
      <c r="AA84" s="133"/>
      <c r="AB84" s="133"/>
      <c r="AC84" s="133"/>
    </row>
    <row r="85" spans="1:29" customFormat="1" ht="25.5" customHeight="1" x14ac:dyDescent="0.25">
      <c r="A85" s="127">
        <v>123</v>
      </c>
      <c r="B85" s="175" t="s">
        <v>264</v>
      </c>
      <c r="C85" s="183" t="s">
        <v>195</v>
      </c>
      <c r="D85" s="183" t="s">
        <v>196</v>
      </c>
      <c r="E85" s="142" t="s">
        <v>435</v>
      </c>
      <c r="F85" s="175"/>
      <c r="G85" s="175" t="s">
        <v>64</v>
      </c>
      <c r="H85" s="180" t="s">
        <v>79</v>
      </c>
      <c r="I85" s="176"/>
      <c r="J85" s="129" t="s">
        <v>351</v>
      </c>
      <c r="K85" s="181" t="s">
        <v>49</v>
      </c>
      <c r="L85" s="155"/>
      <c r="M85" s="155"/>
      <c r="N85" s="179">
        <v>42516</v>
      </c>
      <c r="O85" s="179">
        <v>42516</v>
      </c>
      <c r="P85" s="179">
        <v>42519</v>
      </c>
      <c r="Q85" s="175" t="s">
        <v>336</v>
      </c>
      <c r="R85" s="179">
        <v>42530</v>
      </c>
      <c r="S85" s="179">
        <v>42659</v>
      </c>
      <c r="T85" s="179">
        <v>42703</v>
      </c>
      <c r="U85" s="179">
        <v>42724</v>
      </c>
      <c r="V85" s="155"/>
      <c r="W85" s="155"/>
      <c r="Z85" s="133"/>
      <c r="AA85" s="133"/>
      <c r="AB85" s="133"/>
      <c r="AC85" s="133"/>
    </row>
    <row r="86" spans="1:29" customFormat="1" ht="25.5" customHeight="1" x14ac:dyDescent="0.25">
      <c r="A86" s="127">
        <v>124</v>
      </c>
      <c r="B86" s="175" t="s">
        <v>264</v>
      </c>
      <c r="C86" s="153"/>
      <c r="D86" s="153"/>
      <c r="E86" s="142" t="s">
        <v>436</v>
      </c>
      <c r="F86" s="127"/>
      <c r="G86" s="175" t="s">
        <v>64</v>
      </c>
      <c r="H86" s="180" t="s">
        <v>29</v>
      </c>
      <c r="I86" s="176"/>
      <c r="J86" s="129" t="s">
        <v>351</v>
      </c>
      <c r="K86" s="181" t="s">
        <v>49</v>
      </c>
      <c r="L86" s="128"/>
      <c r="M86" s="128"/>
      <c r="N86" s="179">
        <v>42666</v>
      </c>
      <c r="O86" s="179">
        <v>42666</v>
      </c>
      <c r="P86" s="179">
        <v>42666</v>
      </c>
      <c r="Q86" s="175" t="s">
        <v>337</v>
      </c>
      <c r="R86" s="179">
        <v>42670</v>
      </c>
      <c r="S86" s="179">
        <v>42675</v>
      </c>
      <c r="T86" s="179">
        <v>42704</v>
      </c>
      <c r="U86" s="182">
        <v>42724</v>
      </c>
      <c r="V86" s="132"/>
      <c r="W86" s="131"/>
      <c r="Z86" s="133"/>
      <c r="AA86" s="133"/>
      <c r="AB86" s="133"/>
      <c r="AC86" s="133"/>
    </row>
    <row r="87" spans="1:29" customFormat="1" ht="25.5" customHeight="1" x14ac:dyDescent="0.25">
      <c r="A87" s="127">
        <v>125</v>
      </c>
      <c r="B87" s="175" t="s">
        <v>264</v>
      </c>
      <c r="C87" s="183" t="s">
        <v>202</v>
      </c>
      <c r="D87" s="153"/>
      <c r="E87" s="142" t="s">
        <v>437</v>
      </c>
      <c r="F87" s="175"/>
      <c r="G87" s="175" t="s">
        <v>64</v>
      </c>
      <c r="H87" s="180" t="s">
        <v>29</v>
      </c>
      <c r="I87" s="176"/>
      <c r="J87" s="129" t="s">
        <v>351</v>
      </c>
      <c r="K87" s="181" t="s">
        <v>49</v>
      </c>
      <c r="L87" s="155"/>
      <c r="M87" s="155"/>
      <c r="N87" s="179">
        <v>42536</v>
      </c>
      <c r="O87" s="179">
        <v>42536</v>
      </c>
      <c r="P87" s="179">
        <v>42536</v>
      </c>
      <c r="Q87" s="155"/>
      <c r="R87" s="179">
        <v>42550</v>
      </c>
      <c r="S87" s="179">
        <v>42556</v>
      </c>
      <c r="T87" s="179">
        <v>42619</v>
      </c>
      <c r="U87" s="155"/>
      <c r="V87" s="155"/>
      <c r="W87" s="155"/>
      <c r="Z87" s="133"/>
      <c r="AA87" s="133"/>
      <c r="AB87" s="133"/>
      <c r="AC87" s="133"/>
    </row>
    <row r="88" spans="1:29" customFormat="1" ht="25.5" customHeight="1" x14ac:dyDescent="0.25">
      <c r="A88" s="127">
        <v>126</v>
      </c>
      <c r="B88" s="175" t="s">
        <v>264</v>
      </c>
      <c r="C88" s="183" t="s">
        <v>202</v>
      </c>
      <c r="D88" s="153"/>
      <c r="E88" s="142" t="s">
        <v>438</v>
      </c>
      <c r="F88" s="175"/>
      <c r="G88" s="175" t="s">
        <v>64</v>
      </c>
      <c r="H88" s="180" t="s">
        <v>79</v>
      </c>
      <c r="I88" s="176"/>
      <c r="J88" s="129" t="s">
        <v>351</v>
      </c>
      <c r="K88" s="181" t="s">
        <v>49</v>
      </c>
      <c r="L88" s="155"/>
      <c r="M88" s="155"/>
      <c r="N88" s="179">
        <v>42544</v>
      </c>
      <c r="O88" s="179">
        <v>42544</v>
      </c>
      <c r="P88" s="179">
        <v>42544</v>
      </c>
      <c r="Q88" s="155"/>
      <c r="R88" s="179">
        <v>42555</v>
      </c>
      <c r="S88" s="179">
        <v>42569</v>
      </c>
      <c r="T88" s="179">
        <v>42619</v>
      </c>
      <c r="U88" s="155"/>
      <c r="V88" s="155"/>
      <c r="W88" s="155"/>
      <c r="Z88" s="133"/>
      <c r="AA88" s="133"/>
      <c r="AB88" s="133"/>
      <c r="AC88" s="133"/>
    </row>
    <row r="89" spans="1:29" customFormat="1" ht="25.5" customHeight="1" x14ac:dyDescent="0.25">
      <c r="A89" s="127">
        <v>127</v>
      </c>
      <c r="B89" s="175" t="s">
        <v>264</v>
      </c>
      <c r="C89" s="183" t="s">
        <v>207</v>
      </c>
      <c r="D89" s="183" t="s">
        <v>109</v>
      </c>
      <c r="E89" s="142" t="s">
        <v>439</v>
      </c>
      <c r="F89" s="175"/>
      <c r="G89" s="175" t="s">
        <v>64</v>
      </c>
      <c r="H89" s="180" t="s">
        <v>79</v>
      </c>
      <c r="I89" s="176"/>
      <c r="J89" s="129" t="s">
        <v>351</v>
      </c>
      <c r="K89" s="181" t="s">
        <v>49</v>
      </c>
      <c r="L89" s="131"/>
      <c r="M89" s="131"/>
      <c r="N89" s="179">
        <v>42593</v>
      </c>
      <c r="O89" s="179">
        <v>42593</v>
      </c>
      <c r="P89" s="179">
        <v>42593</v>
      </c>
      <c r="Q89" s="186" t="s">
        <v>338</v>
      </c>
      <c r="R89" s="179">
        <v>42607</v>
      </c>
      <c r="S89" s="179">
        <v>42612</v>
      </c>
      <c r="T89" s="179">
        <v>42655</v>
      </c>
      <c r="U89" s="132"/>
      <c r="V89" s="132"/>
      <c r="W89" s="131"/>
      <c r="Z89" s="133"/>
      <c r="AA89" s="133"/>
      <c r="AB89" s="133"/>
      <c r="AC89" s="133"/>
    </row>
    <row r="90" spans="1:29" customFormat="1" ht="25.5" customHeight="1" x14ac:dyDescent="0.25">
      <c r="A90" s="127">
        <v>128</v>
      </c>
      <c r="B90" s="175" t="s">
        <v>264</v>
      </c>
      <c r="C90" s="153"/>
      <c r="D90" s="153"/>
      <c r="E90" s="142" t="s">
        <v>440</v>
      </c>
      <c r="F90" s="175"/>
      <c r="G90" s="175" t="s">
        <v>64</v>
      </c>
      <c r="H90" s="180" t="s">
        <v>29</v>
      </c>
      <c r="I90" s="176"/>
      <c r="J90" s="129" t="s">
        <v>351</v>
      </c>
      <c r="K90" s="181" t="s">
        <v>49</v>
      </c>
      <c r="L90" s="128"/>
      <c r="M90" s="128"/>
      <c r="N90" s="179">
        <v>42638</v>
      </c>
      <c r="O90" s="179">
        <v>42638</v>
      </c>
      <c r="P90" s="179">
        <v>42646</v>
      </c>
      <c r="Q90" s="175" t="s">
        <v>339</v>
      </c>
      <c r="R90" s="179">
        <v>42660</v>
      </c>
      <c r="S90" s="179">
        <v>42663</v>
      </c>
      <c r="T90" s="179">
        <v>42695</v>
      </c>
      <c r="U90" s="182">
        <v>42706</v>
      </c>
      <c r="V90" s="132"/>
      <c r="W90" s="131"/>
      <c r="Z90" s="133"/>
      <c r="AA90" s="133"/>
      <c r="AB90" s="133"/>
      <c r="AC90" s="133"/>
    </row>
    <row r="91" spans="1:29" x14ac:dyDescent="0.2">
      <c r="A91" s="127">
        <v>129</v>
      </c>
      <c r="B91" s="175" t="s">
        <v>264</v>
      </c>
      <c r="C91" s="183" t="s">
        <v>208</v>
      </c>
      <c r="D91" s="183" t="s">
        <v>109</v>
      </c>
      <c r="E91" s="142" t="s">
        <v>441</v>
      </c>
      <c r="F91" s="187"/>
      <c r="G91" s="175" t="s">
        <v>48</v>
      </c>
      <c r="H91" s="180" t="s">
        <v>79</v>
      </c>
      <c r="I91" s="176"/>
      <c r="J91" s="129" t="s">
        <v>351</v>
      </c>
      <c r="K91" s="181" t="s">
        <v>49</v>
      </c>
      <c r="L91" s="185">
        <v>42572</v>
      </c>
      <c r="M91" s="185">
        <v>42572</v>
      </c>
      <c r="N91" s="184">
        <v>42632</v>
      </c>
      <c r="O91" s="179">
        <v>42644</v>
      </c>
      <c r="P91" s="179">
        <v>42646</v>
      </c>
      <c r="Q91" s="175" t="s">
        <v>334</v>
      </c>
      <c r="R91" s="179">
        <v>42660</v>
      </c>
      <c r="S91" s="179">
        <v>42661</v>
      </c>
      <c r="T91" s="179">
        <v>42683</v>
      </c>
      <c r="U91" s="132"/>
      <c r="V91" s="182">
        <v>42694</v>
      </c>
      <c r="W91" s="184">
        <v>42702</v>
      </c>
      <c r="Z91" s="133"/>
      <c r="AA91" s="133"/>
      <c r="AB91" s="133"/>
      <c r="AC91" s="133"/>
    </row>
    <row r="92" spans="1:29" x14ac:dyDescent="0.2">
      <c r="A92" s="127">
        <v>130</v>
      </c>
      <c r="B92" s="175" t="s">
        <v>264</v>
      </c>
      <c r="C92" s="183" t="s">
        <v>209</v>
      </c>
      <c r="D92" s="183"/>
      <c r="E92" s="142" t="s">
        <v>442</v>
      </c>
      <c r="F92" s="187"/>
      <c r="G92" s="175" t="s">
        <v>48</v>
      </c>
      <c r="H92" s="180" t="s">
        <v>79</v>
      </c>
      <c r="I92" s="176"/>
      <c r="J92" s="129" t="s">
        <v>351</v>
      </c>
      <c r="K92" s="181" t="s">
        <v>49</v>
      </c>
      <c r="L92" s="185">
        <v>42511</v>
      </c>
      <c r="M92" s="185"/>
      <c r="N92" s="179">
        <v>42499</v>
      </c>
      <c r="O92" s="179">
        <v>42500</v>
      </c>
      <c r="P92" s="179"/>
      <c r="Q92" s="175"/>
      <c r="R92" s="179"/>
      <c r="S92" s="179">
        <v>42507</v>
      </c>
      <c r="T92" s="179"/>
      <c r="U92" s="132"/>
      <c r="V92" s="182">
        <v>42522</v>
      </c>
      <c r="W92" s="184">
        <v>42802</v>
      </c>
      <c r="Z92" s="133"/>
      <c r="AA92" s="133"/>
      <c r="AB92" s="133"/>
      <c r="AC92" s="133"/>
    </row>
    <row r="93" spans="1:29" customFormat="1" ht="25.5" customHeight="1" x14ac:dyDescent="0.25">
      <c r="A93" s="127">
        <v>131</v>
      </c>
      <c r="B93" s="175" t="s">
        <v>264</v>
      </c>
      <c r="C93" s="153"/>
      <c r="D93" s="153"/>
      <c r="E93" s="142" t="s">
        <v>443</v>
      </c>
      <c r="F93" s="175"/>
      <c r="G93" s="175" t="s">
        <v>48</v>
      </c>
      <c r="H93" s="180" t="s">
        <v>44</v>
      </c>
      <c r="I93" s="176"/>
      <c r="J93" s="129" t="s">
        <v>351</v>
      </c>
      <c r="K93" s="181" t="s">
        <v>49</v>
      </c>
      <c r="L93" s="183" t="s">
        <v>210</v>
      </c>
      <c r="M93" s="183" t="s">
        <v>211</v>
      </c>
      <c r="N93" s="179" t="s">
        <v>212</v>
      </c>
      <c r="O93" s="179">
        <v>42572</v>
      </c>
      <c r="P93" s="179">
        <v>42573</v>
      </c>
      <c r="Q93" s="155"/>
      <c r="R93" s="179">
        <v>42583</v>
      </c>
      <c r="S93" s="179">
        <v>42587</v>
      </c>
      <c r="T93" s="179">
        <v>42601</v>
      </c>
      <c r="U93" s="155"/>
      <c r="V93" s="179">
        <v>42458</v>
      </c>
      <c r="W93" s="155"/>
      <c r="Z93" s="133"/>
      <c r="AA93" s="133"/>
      <c r="AB93" s="133"/>
      <c r="AC93" s="133"/>
    </row>
    <row r="94" spans="1:29" x14ac:dyDescent="0.2">
      <c r="A94" s="127">
        <v>132</v>
      </c>
      <c r="B94" s="175" t="s">
        <v>264</v>
      </c>
      <c r="C94" s="128"/>
      <c r="D94" s="128"/>
      <c r="E94" s="142" t="s">
        <v>444</v>
      </c>
      <c r="F94" s="187"/>
      <c r="G94" s="175" t="s">
        <v>48</v>
      </c>
      <c r="H94" s="180" t="s">
        <v>79</v>
      </c>
      <c r="I94" s="176"/>
      <c r="J94" s="129" t="s">
        <v>351</v>
      </c>
      <c r="K94" s="181" t="s">
        <v>49</v>
      </c>
      <c r="L94" s="188" t="s">
        <v>190</v>
      </c>
      <c r="M94" s="188" t="s">
        <v>212</v>
      </c>
      <c r="N94" s="184" t="s">
        <v>213</v>
      </c>
      <c r="O94" s="179">
        <v>42588</v>
      </c>
      <c r="P94" s="179">
        <v>42589</v>
      </c>
      <c r="Q94" s="155"/>
      <c r="R94" s="179">
        <v>42607</v>
      </c>
      <c r="S94" s="179">
        <v>42612</v>
      </c>
      <c r="T94" s="179">
        <v>42629</v>
      </c>
      <c r="U94" s="132"/>
      <c r="V94" s="182">
        <v>42663</v>
      </c>
      <c r="W94" s="184">
        <v>42666</v>
      </c>
      <c r="Z94" s="133"/>
      <c r="AA94" s="133"/>
      <c r="AB94" s="133"/>
      <c r="AC94" s="133"/>
    </row>
    <row r="95" spans="1:29" customFormat="1" ht="25.5" customHeight="1" x14ac:dyDescent="0.25">
      <c r="A95" s="127">
        <v>133</v>
      </c>
      <c r="B95" s="175" t="s">
        <v>264</v>
      </c>
      <c r="C95" s="183" t="s">
        <v>189</v>
      </c>
      <c r="D95" s="183" t="s">
        <v>128</v>
      </c>
      <c r="E95" s="142" t="s">
        <v>445</v>
      </c>
      <c r="F95" s="175"/>
      <c r="G95" s="175" t="s">
        <v>48</v>
      </c>
      <c r="H95" s="180" t="s">
        <v>44</v>
      </c>
      <c r="I95" s="176"/>
      <c r="J95" s="129" t="s">
        <v>351</v>
      </c>
      <c r="K95" s="181" t="s">
        <v>87</v>
      </c>
      <c r="L95" s="188" t="s">
        <v>190</v>
      </c>
      <c r="M95" s="188" t="s">
        <v>191</v>
      </c>
      <c r="N95" s="184" t="s">
        <v>192</v>
      </c>
      <c r="O95" s="179">
        <v>42604</v>
      </c>
      <c r="P95" s="179">
        <v>42604</v>
      </c>
      <c r="Q95" s="175" t="s">
        <v>340</v>
      </c>
      <c r="R95" s="179">
        <v>42652</v>
      </c>
      <c r="S95" s="179">
        <v>42640</v>
      </c>
      <c r="T95" s="179">
        <v>42653</v>
      </c>
      <c r="U95" s="132"/>
      <c r="V95" s="132">
        <v>42654</v>
      </c>
      <c r="W95" s="131"/>
      <c r="Z95" s="133"/>
      <c r="AA95" s="133"/>
      <c r="AB95" s="133"/>
      <c r="AC95" s="133"/>
    </row>
    <row r="96" spans="1:29" x14ac:dyDescent="0.2">
      <c r="A96" s="127">
        <v>134</v>
      </c>
      <c r="B96" s="175" t="s">
        <v>264</v>
      </c>
      <c r="C96" s="153"/>
      <c r="D96" s="183" t="s">
        <v>194</v>
      </c>
      <c r="E96" s="142" t="s">
        <v>446</v>
      </c>
      <c r="F96" s="175"/>
      <c r="G96" s="175" t="s">
        <v>48</v>
      </c>
      <c r="H96" s="175" t="s">
        <v>29</v>
      </c>
      <c r="I96" s="176"/>
      <c r="J96" s="129" t="s">
        <v>351</v>
      </c>
      <c r="K96" s="178" t="s">
        <v>49</v>
      </c>
      <c r="L96" s="131"/>
      <c r="M96" s="131"/>
      <c r="N96" s="184">
        <v>42675</v>
      </c>
      <c r="O96" s="182">
        <v>42676</v>
      </c>
      <c r="P96" s="155"/>
      <c r="Q96" s="154"/>
      <c r="R96" s="155"/>
      <c r="S96" s="179">
        <v>42696</v>
      </c>
      <c r="T96" s="179">
        <v>42704</v>
      </c>
      <c r="U96" s="182">
        <v>42704</v>
      </c>
      <c r="V96" s="182">
        <v>42724</v>
      </c>
      <c r="W96" s="184">
        <v>42729</v>
      </c>
      <c r="Z96" s="133"/>
      <c r="AA96" s="133"/>
      <c r="AB96" s="133"/>
      <c r="AC96" s="133"/>
    </row>
    <row r="97" spans="1:29" x14ac:dyDescent="0.2">
      <c r="A97" s="127">
        <v>135</v>
      </c>
      <c r="B97" s="175" t="s">
        <v>264</v>
      </c>
      <c r="C97" s="153"/>
      <c r="D97" s="183" t="s">
        <v>194</v>
      </c>
      <c r="E97" s="142" t="s">
        <v>447</v>
      </c>
      <c r="F97" s="175"/>
      <c r="G97" s="175" t="s">
        <v>48</v>
      </c>
      <c r="H97" s="175" t="s">
        <v>79</v>
      </c>
      <c r="I97" s="176"/>
      <c r="J97" s="129" t="s">
        <v>351</v>
      </c>
      <c r="K97" s="178" t="s">
        <v>49</v>
      </c>
      <c r="L97" s="131"/>
      <c r="M97" s="131"/>
      <c r="N97" s="184">
        <v>42675</v>
      </c>
      <c r="O97" s="182">
        <v>42677</v>
      </c>
      <c r="P97" s="155"/>
      <c r="Q97" s="154"/>
      <c r="R97" s="155"/>
      <c r="S97" s="179">
        <v>42697</v>
      </c>
      <c r="T97" s="179">
        <v>42704</v>
      </c>
      <c r="U97" s="182">
        <v>42704</v>
      </c>
      <c r="V97" s="182">
        <v>42724</v>
      </c>
      <c r="W97" s="184">
        <v>42729</v>
      </c>
      <c r="Z97" s="133"/>
      <c r="AA97" s="133"/>
      <c r="AB97" s="133"/>
      <c r="AC97" s="133"/>
    </row>
    <row r="98" spans="1:29" x14ac:dyDescent="0.2">
      <c r="A98" s="127">
        <v>136</v>
      </c>
      <c r="B98" s="175" t="s">
        <v>264</v>
      </c>
      <c r="C98" s="153"/>
      <c r="D98" s="183" t="s">
        <v>194</v>
      </c>
      <c r="E98" s="142" t="s">
        <v>448</v>
      </c>
      <c r="F98" s="175"/>
      <c r="G98" s="175" t="s">
        <v>48</v>
      </c>
      <c r="H98" s="175" t="s">
        <v>29</v>
      </c>
      <c r="I98" s="176"/>
      <c r="J98" s="129" t="s">
        <v>351</v>
      </c>
      <c r="K98" s="178" t="s">
        <v>49</v>
      </c>
      <c r="L98" s="131"/>
      <c r="M98" s="131"/>
      <c r="N98" s="182">
        <v>42678</v>
      </c>
      <c r="O98" s="182">
        <v>42678</v>
      </c>
      <c r="P98" s="155"/>
      <c r="Q98" s="154"/>
      <c r="R98" s="155"/>
      <c r="S98" s="155">
        <v>42726</v>
      </c>
      <c r="T98" s="155">
        <v>42726</v>
      </c>
      <c r="U98" s="182">
        <v>42728</v>
      </c>
      <c r="V98" s="182">
        <v>42729</v>
      </c>
      <c r="W98" s="131">
        <v>42734</v>
      </c>
      <c r="Z98" s="133"/>
      <c r="AA98" s="133"/>
      <c r="AB98" s="133"/>
      <c r="AC98" s="133"/>
    </row>
    <row r="99" spans="1:29" x14ac:dyDescent="0.2">
      <c r="A99" s="127">
        <v>137</v>
      </c>
      <c r="B99" s="175" t="s">
        <v>264</v>
      </c>
      <c r="C99" s="153"/>
      <c r="D99" s="183" t="s">
        <v>194</v>
      </c>
      <c r="E99" s="142" t="s">
        <v>449</v>
      </c>
      <c r="F99" s="175"/>
      <c r="G99" s="175" t="s">
        <v>48</v>
      </c>
      <c r="H99" s="175" t="s">
        <v>29</v>
      </c>
      <c r="I99" s="176"/>
      <c r="J99" s="129" t="s">
        <v>351</v>
      </c>
      <c r="K99" s="178" t="s">
        <v>49</v>
      </c>
      <c r="L99" s="131"/>
      <c r="M99" s="131"/>
      <c r="N99" s="182">
        <v>42679</v>
      </c>
      <c r="O99" s="182">
        <v>42679</v>
      </c>
      <c r="P99" s="155"/>
      <c r="Q99" s="154"/>
      <c r="R99" s="155"/>
      <c r="S99" s="155"/>
      <c r="T99" s="155"/>
      <c r="U99" s="182">
        <v>42728</v>
      </c>
      <c r="V99" s="182">
        <v>42729</v>
      </c>
      <c r="W99" s="184">
        <v>42729</v>
      </c>
      <c r="Z99" s="133"/>
      <c r="AA99" s="133"/>
      <c r="AB99" s="133"/>
      <c r="AC99" s="133"/>
    </row>
    <row r="100" spans="1:29" x14ac:dyDescent="0.2">
      <c r="A100" s="127">
        <v>138</v>
      </c>
      <c r="B100" s="175" t="s">
        <v>264</v>
      </c>
      <c r="C100" s="153"/>
      <c r="D100" s="153"/>
      <c r="E100" s="142" t="s">
        <v>450</v>
      </c>
      <c r="F100" s="175"/>
      <c r="G100" s="175" t="s">
        <v>48</v>
      </c>
      <c r="H100" s="175" t="s">
        <v>29</v>
      </c>
      <c r="I100" s="176"/>
      <c r="J100" s="129" t="s">
        <v>351</v>
      </c>
      <c r="K100" s="178" t="s">
        <v>49</v>
      </c>
      <c r="L100" s="131"/>
      <c r="M100" s="131"/>
      <c r="N100" s="182">
        <v>42680</v>
      </c>
      <c r="O100" s="182">
        <v>42680</v>
      </c>
      <c r="P100" s="155"/>
      <c r="Q100" s="154"/>
      <c r="R100" s="155"/>
      <c r="S100" s="155"/>
      <c r="T100" s="155"/>
      <c r="U100" s="182">
        <v>42728</v>
      </c>
      <c r="V100" s="182">
        <v>42729</v>
      </c>
      <c r="W100" s="184">
        <v>42729</v>
      </c>
      <c r="Z100" s="133"/>
      <c r="AA100" s="133"/>
      <c r="AB100" s="133"/>
      <c r="AC100" s="133"/>
    </row>
    <row r="101" spans="1:29" x14ac:dyDescent="0.2">
      <c r="A101" s="127">
        <v>139</v>
      </c>
      <c r="B101" s="175" t="s">
        <v>264</v>
      </c>
      <c r="C101" s="128"/>
      <c r="D101" s="128"/>
      <c r="E101" s="142" t="s">
        <v>451</v>
      </c>
      <c r="F101" s="175"/>
      <c r="G101" s="175" t="s">
        <v>48</v>
      </c>
      <c r="H101" s="180" t="s">
        <v>29</v>
      </c>
      <c r="I101" s="189"/>
      <c r="J101" s="129" t="s">
        <v>351</v>
      </c>
      <c r="K101" s="181" t="s">
        <v>49</v>
      </c>
      <c r="L101" s="188" t="s">
        <v>214</v>
      </c>
      <c r="M101" s="188" t="s">
        <v>214</v>
      </c>
      <c r="N101" s="188" t="s">
        <v>214</v>
      </c>
      <c r="O101" s="188" t="s">
        <v>214</v>
      </c>
      <c r="P101" s="155"/>
      <c r="Q101" s="155"/>
      <c r="R101" s="155"/>
      <c r="S101" s="155"/>
      <c r="T101" s="155"/>
      <c r="U101" s="190">
        <v>42694</v>
      </c>
      <c r="V101" s="182">
        <v>42694</v>
      </c>
      <c r="W101" s="184">
        <v>42692</v>
      </c>
      <c r="Z101" s="133"/>
      <c r="AA101" s="133"/>
      <c r="AB101" s="133"/>
      <c r="AC101" s="133"/>
    </row>
    <row r="102" spans="1:29" x14ac:dyDescent="0.2">
      <c r="A102" s="127">
        <v>140</v>
      </c>
      <c r="B102" s="175" t="s">
        <v>264</v>
      </c>
      <c r="C102" s="183" t="s">
        <v>215</v>
      </c>
      <c r="D102" s="183" t="s">
        <v>141</v>
      </c>
      <c r="E102" s="142" t="s">
        <v>452</v>
      </c>
      <c r="F102" s="175"/>
      <c r="G102" s="175" t="s">
        <v>48</v>
      </c>
      <c r="H102" s="180" t="s">
        <v>29</v>
      </c>
      <c r="I102" s="189"/>
      <c r="J102" s="129" t="s">
        <v>351</v>
      </c>
      <c r="K102" s="181" t="s">
        <v>49</v>
      </c>
      <c r="L102" s="188" t="s">
        <v>216</v>
      </c>
      <c r="M102" s="188" t="s">
        <v>217</v>
      </c>
      <c r="N102" s="184" t="s">
        <v>218</v>
      </c>
      <c r="O102" s="184" t="s">
        <v>218</v>
      </c>
      <c r="P102" s="155"/>
      <c r="Q102" s="129"/>
      <c r="R102" s="155"/>
      <c r="S102" s="155"/>
      <c r="T102" s="155"/>
      <c r="U102" s="182">
        <v>42644</v>
      </c>
      <c r="V102" s="182">
        <v>42646</v>
      </c>
      <c r="W102" s="184">
        <v>42647</v>
      </c>
      <c r="Z102" s="133"/>
      <c r="AA102" s="133"/>
      <c r="AB102" s="133"/>
      <c r="AC102" s="133"/>
    </row>
    <row r="103" spans="1:29" x14ac:dyDescent="0.2">
      <c r="A103" s="127">
        <v>141</v>
      </c>
      <c r="B103" s="175" t="s">
        <v>264</v>
      </c>
      <c r="C103" s="183" t="s">
        <v>219</v>
      </c>
      <c r="D103" s="183" t="s">
        <v>141</v>
      </c>
      <c r="E103" s="142" t="s">
        <v>453</v>
      </c>
      <c r="F103" s="175"/>
      <c r="G103" s="175" t="s">
        <v>48</v>
      </c>
      <c r="H103" s="180" t="s">
        <v>29</v>
      </c>
      <c r="I103" s="189"/>
      <c r="J103" s="129" t="s">
        <v>351</v>
      </c>
      <c r="K103" s="181" t="s">
        <v>49</v>
      </c>
      <c r="L103" s="188" t="s">
        <v>216</v>
      </c>
      <c r="M103" s="188" t="s">
        <v>217</v>
      </c>
      <c r="N103" s="184" t="s">
        <v>218</v>
      </c>
      <c r="O103" s="184" t="s">
        <v>218</v>
      </c>
      <c r="P103" s="155"/>
      <c r="Q103" s="129"/>
      <c r="R103" s="155"/>
      <c r="S103" s="155"/>
      <c r="T103" s="155"/>
      <c r="U103" s="182">
        <v>42644</v>
      </c>
      <c r="V103" s="182">
        <v>42646</v>
      </c>
      <c r="W103" s="184">
        <v>42647</v>
      </c>
      <c r="Z103" s="133"/>
      <c r="AA103" s="133"/>
      <c r="AB103" s="133"/>
      <c r="AC103" s="133"/>
    </row>
    <row r="104" spans="1:29" customFormat="1" ht="25.5" customHeight="1" x14ac:dyDescent="0.25">
      <c r="A104" s="127">
        <v>142</v>
      </c>
      <c r="B104" s="175" t="s">
        <v>264</v>
      </c>
      <c r="C104" s="183" t="s">
        <v>202</v>
      </c>
      <c r="D104" s="153"/>
      <c r="E104" s="142" t="s">
        <v>454</v>
      </c>
      <c r="F104" s="175"/>
      <c r="G104" s="175" t="s">
        <v>28</v>
      </c>
      <c r="H104" s="180" t="s">
        <v>44</v>
      </c>
      <c r="I104" s="176"/>
      <c r="J104" s="129" t="s">
        <v>351</v>
      </c>
      <c r="K104" s="181" t="s">
        <v>49</v>
      </c>
      <c r="L104" s="155"/>
      <c r="M104" s="155"/>
      <c r="N104" s="179">
        <v>42553</v>
      </c>
      <c r="O104" s="179">
        <v>42554</v>
      </c>
      <c r="P104" s="179">
        <v>42561</v>
      </c>
      <c r="Q104" s="175" t="s">
        <v>341</v>
      </c>
      <c r="R104" s="179">
        <v>42572</v>
      </c>
      <c r="S104" s="179">
        <v>42575</v>
      </c>
      <c r="T104" s="179">
        <v>42596</v>
      </c>
      <c r="U104" s="179">
        <v>42596</v>
      </c>
      <c r="V104" s="155">
        <v>42597</v>
      </c>
      <c r="W104" s="155">
        <v>42597</v>
      </c>
      <c r="Z104" s="133"/>
      <c r="AA104" s="133"/>
      <c r="AB104" s="133"/>
      <c r="AC104" s="133"/>
    </row>
    <row r="105" spans="1:29" customFormat="1" ht="38.25" customHeight="1" x14ac:dyDescent="0.25">
      <c r="A105" s="127">
        <v>143</v>
      </c>
      <c r="B105" s="175" t="s">
        <v>264</v>
      </c>
      <c r="C105" s="183" t="s">
        <v>220</v>
      </c>
      <c r="D105" s="183" t="s">
        <v>221</v>
      </c>
      <c r="E105" s="142" t="s">
        <v>455</v>
      </c>
      <c r="F105" s="175"/>
      <c r="G105" s="175" t="s">
        <v>48</v>
      </c>
      <c r="H105" s="175" t="s">
        <v>79</v>
      </c>
      <c r="I105" s="176"/>
      <c r="J105" s="129" t="s">
        <v>351</v>
      </c>
      <c r="K105" s="181" t="s">
        <v>49</v>
      </c>
      <c r="L105" s="128"/>
      <c r="M105" s="131"/>
      <c r="N105" s="184" t="s">
        <v>222</v>
      </c>
      <c r="O105" s="179">
        <v>42401</v>
      </c>
      <c r="P105" s="179">
        <v>42401</v>
      </c>
      <c r="Q105" s="154"/>
      <c r="R105" s="155"/>
      <c r="S105" s="155"/>
      <c r="T105" s="155"/>
      <c r="U105" s="182">
        <v>42425</v>
      </c>
      <c r="V105" s="182">
        <v>42425</v>
      </c>
      <c r="W105" s="184">
        <v>42430</v>
      </c>
      <c r="Z105" s="133"/>
      <c r="AA105" s="133"/>
      <c r="AB105" s="133"/>
      <c r="AC105" s="133"/>
    </row>
    <row r="106" spans="1:29" customFormat="1" ht="25.5" customHeight="1" x14ac:dyDescent="0.25">
      <c r="A106" s="127">
        <v>144</v>
      </c>
      <c r="B106" s="127" t="s">
        <v>264</v>
      </c>
      <c r="C106" s="153" t="s">
        <v>223</v>
      </c>
      <c r="D106" s="153"/>
      <c r="E106" s="142" t="s">
        <v>456</v>
      </c>
      <c r="F106" s="127"/>
      <c r="G106" s="127" t="s">
        <v>28</v>
      </c>
      <c r="H106" s="127" t="s">
        <v>29</v>
      </c>
      <c r="I106" s="147"/>
      <c r="J106" s="129" t="s">
        <v>351</v>
      </c>
      <c r="K106" s="156" t="s">
        <v>49</v>
      </c>
      <c r="L106" s="131"/>
      <c r="M106" s="131"/>
      <c r="N106" s="155">
        <v>42751</v>
      </c>
      <c r="O106" s="155">
        <v>42751</v>
      </c>
      <c r="P106" s="155">
        <v>42752</v>
      </c>
      <c r="Q106" s="154" t="s">
        <v>342</v>
      </c>
      <c r="R106" s="155">
        <v>42753</v>
      </c>
      <c r="S106" s="155">
        <v>42757</v>
      </c>
      <c r="T106" s="155">
        <v>42791</v>
      </c>
      <c r="U106" s="157">
        <v>42795</v>
      </c>
      <c r="V106" s="157">
        <v>42799</v>
      </c>
      <c r="W106" s="131"/>
      <c r="Z106" s="133">
        <v>42872</v>
      </c>
      <c r="AA106" s="133"/>
      <c r="AB106" s="133" t="s">
        <v>224</v>
      </c>
      <c r="AC106" s="133"/>
    </row>
    <row r="107" spans="1:29" customFormat="1" ht="25.5" customHeight="1" x14ac:dyDescent="0.25">
      <c r="A107" s="127">
        <v>145</v>
      </c>
      <c r="B107" s="127" t="s">
        <v>264</v>
      </c>
      <c r="C107" s="153" t="s">
        <v>225</v>
      </c>
      <c r="D107" s="153"/>
      <c r="E107" s="142" t="s">
        <v>457</v>
      </c>
      <c r="F107" s="127"/>
      <c r="G107" s="127" t="s">
        <v>28</v>
      </c>
      <c r="H107" s="127" t="s">
        <v>29</v>
      </c>
      <c r="I107" s="147"/>
      <c r="J107" s="129" t="s">
        <v>351</v>
      </c>
      <c r="K107" s="156" t="s">
        <v>49</v>
      </c>
      <c r="L107" s="131"/>
      <c r="M107" s="131"/>
      <c r="N107" s="155">
        <v>42751</v>
      </c>
      <c r="O107" s="155">
        <v>42751</v>
      </c>
      <c r="P107" s="155">
        <v>42752</v>
      </c>
      <c r="Q107" s="154" t="s">
        <v>343</v>
      </c>
      <c r="R107" s="155">
        <v>42753</v>
      </c>
      <c r="S107" s="155">
        <v>42754</v>
      </c>
      <c r="T107" s="155">
        <v>42791</v>
      </c>
      <c r="U107" s="157">
        <v>42795</v>
      </c>
      <c r="V107" s="157">
        <v>42799</v>
      </c>
      <c r="W107" s="131"/>
      <c r="Z107" s="133">
        <v>42872</v>
      </c>
      <c r="AA107" s="133"/>
      <c r="AB107" s="133" t="s">
        <v>224</v>
      </c>
      <c r="AC107" s="133"/>
    </row>
    <row r="108" spans="1:29" customFormat="1" ht="25.5" customHeight="1" x14ac:dyDescent="0.25">
      <c r="A108" s="127">
        <v>146</v>
      </c>
      <c r="B108" s="127" t="s">
        <v>264</v>
      </c>
      <c r="C108" s="153" t="s">
        <v>226</v>
      </c>
      <c r="D108" s="153"/>
      <c r="E108" s="142" t="s">
        <v>458</v>
      </c>
      <c r="F108" s="127"/>
      <c r="G108" s="127" t="s">
        <v>28</v>
      </c>
      <c r="H108" s="127" t="s">
        <v>29</v>
      </c>
      <c r="I108" s="147"/>
      <c r="J108" s="129" t="s">
        <v>351</v>
      </c>
      <c r="K108" s="156" t="s">
        <v>49</v>
      </c>
      <c r="L108" s="131"/>
      <c r="M108" s="131"/>
      <c r="N108" s="155">
        <v>42751</v>
      </c>
      <c r="O108" s="155">
        <v>42751</v>
      </c>
      <c r="P108" s="155">
        <v>42752</v>
      </c>
      <c r="Q108" s="154" t="s">
        <v>344</v>
      </c>
      <c r="R108" s="155">
        <v>42753</v>
      </c>
      <c r="S108" s="155">
        <v>42756</v>
      </c>
      <c r="T108" s="155">
        <v>42791</v>
      </c>
      <c r="U108" s="157">
        <v>42795</v>
      </c>
      <c r="V108" s="157">
        <v>42799</v>
      </c>
      <c r="W108" s="131"/>
      <c r="Z108" s="133">
        <v>42872</v>
      </c>
      <c r="AA108" s="133"/>
      <c r="AB108" s="133" t="s">
        <v>224</v>
      </c>
      <c r="AC108" s="133"/>
    </row>
    <row r="109" spans="1:29" customFormat="1" ht="25.5" customHeight="1" x14ac:dyDescent="0.25">
      <c r="A109" s="127">
        <v>147</v>
      </c>
      <c r="B109" s="175" t="s">
        <v>264</v>
      </c>
      <c r="C109" s="183" t="s">
        <v>202</v>
      </c>
      <c r="D109" s="153"/>
      <c r="E109" s="142" t="s">
        <v>459</v>
      </c>
      <c r="F109" s="175"/>
      <c r="G109" s="175" t="s">
        <v>28</v>
      </c>
      <c r="H109" s="180" t="s">
        <v>79</v>
      </c>
      <c r="I109" s="176"/>
      <c r="J109" s="129" t="s">
        <v>351</v>
      </c>
      <c r="K109" s="181" t="s">
        <v>49</v>
      </c>
      <c r="L109" s="179">
        <v>42381</v>
      </c>
      <c r="M109" s="179" t="s">
        <v>227</v>
      </c>
      <c r="N109" s="179">
        <v>42561</v>
      </c>
      <c r="O109" s="179">
        <v>42562</v>
      </c>
      <c r="P109" s="179">
        <v>42562</v>
      </c>
      <c r="Q109" s="155"/>
      <c r="R109" s="179">
        <v>42566</v>
      </c>
      <c r="S109" s="179">
        <v>42570</v>
      </c>
      <c r="T109" s="179">
        <v>42620</v>
      </c>
      <c r="U109" s="155"/>
      <c r="V109" s="155">
        <v>42622</v>
      </c>
      <c r="W109" s="155"/>
      <c r="Z109" s="133"/>
      <c r="AA109" s="133"/>
      <c r="AB109" s="133"/>
      <c r="AC109" s="133"/>
    </row>
    <row r="110" spans="1:29" customFormat="1" ht="25.5" customHeight="1" x14ac:dyDescent="0.25">
      <c r="A110" s="127">
        <v>148</v>
      </c>
      <c r="B110" s="175" t="s">
        <v>264</v>
      </c>
      <c r="C110" s="183" t="s">
        <v>228</v>
      </c>
      <c r="D110" s="183" t="s">
        <v>229</v>
      </c>
      <c r="E110" s="142" t="s">
        <v>460</v>
      </c>
      <c r="F110" s="175"/>
      <c r="G110" s="175" t="s">
        <v>28</v>
      </c>
      <c r="H110" s="180" t="s">
        <v>44</v>
      </c>
      <c r="I110" s="176"/>
      <c r="J110" s="129" t="s">
        <v>351</v>
      </c>
      <c r="K110" s="181" t="s">
        <v>49</v>
      </c>
      <c r="L110" s="155"/>
      <c r="M110" s="155"/>
      <c r="N110" s="179">
        <v>42553</v>
      </c>
      <c r="O110" s="179">
        <v>42554</v>
      </c>
      <c r="P110" s="179">
        <v>42554</v>
      </c>
      <c r="Q110" s="175" t="s">
        <v>345</v>
      </c>
      <c r="R110" s="179">
        <v>42572</v>
      </c>
      <c r="S110" s="179">
        <v>42575</v>
      </c>
      <c r="T110" s="179">
        <v>42628</v>
      </c>
      <c r="U110" s="155"/>
      <c r="V110" s="155">
        <v>42994</v>
      </c>
      <c r="W110" s="155"/>
      <c r="Z110" s="133"/>
      <c r="AA110" s="133"/>
      <c r="AB110" s="133"/>
      <c r="AC110" s="133"/>
    </row>
    <row r="111" spans="1:29" customFormat="1" ht="25.5" customHeight="1" x14ac:dyDescent="0.25">
      <c r="A111" s="127">
        <v>149</v>
      </c>
      <c r="B111" s="175" t="s">
        <v>264</v>
      </c>
      <c r="C111" s="183" t="s">
        <v>220</v>
      </c>
      <c r="D111" s="183" t="s">
        <v>221</v>
      </c>
      <c r="E111" s="142" t="s">
        <v>461</v>
      </c>
      <c r="F111" s="175"/>
      <c r="G111" s="175" t="s">
        <v>28</v>
      </c>
      <c r="H111" s="175" t="s">
        <v>79</v>
      </c>
      <c r="I111" s="176"/>
      <c r="J111" s="129" t="s">
        <v>351</v>
      </c>
      <c r="K111" s="181" t="s">
        <v>182</v>
      </c>
      <c r="L111" s="128"/>
      <c r="M111" s="131"/>
      <c r="N111" s="184">
        <v>42550</v>
      </c>
      <c r="O111" s="184">
        <v>42550</v>
      </c>
      <c r="P111" s="155"/>
      <c r="Q111" s="154"/>
      <c r="R111" s="179" t="s">
        <v>190</v>
      </c>
      <c r="S111" s="179" t="s">
        <v>230</v>
      </c>
      <c r="T111" s="155"/>
      <c r="U111" s="132"/>
      <c r="V111" s="132"/>
      <c r="W111" s="131"/>
      <c r="Z111" s="133"/>
      <c r="AA111" s="133"/>
      <c r="AB111" s="133"/>
      <c r="AC111" s="133"/>
    </row>
    <row r="112" spans="1:29" x14ac:dyDescent="0.2">
      <c r="A112" s="127">
        <v>150</v>
      </c>
      <c r="B112" s="175"/>
      <c r="C112" s="183"/>
      <c r="D112" s="183"/>
      <c r="E112" s="142" t="s">
        <v>462</v>
      </c>
      <c r="F112" s="175"/>
      <c r="G112" s="175"/>
      <c r="H112" s="175"/>
      <c r="I112" s="176"/>
      <c r="J112" s="129" t="s">
        <v>351</v>
      </c>
      <c r="K112" s="181"/>
      <c r="L112" s="128"/>
      <c r="M112" s="131"/>
      <c r="N112" s="184"/>
      <c r="O112" s="155"/>
      <c r="P112" s="155"/>
      <c r="Q112" s="154"/>
      <c r="R112" s="179"/>
      <c r="S112" s="179"/>
      <c r="T112" s="155"/>
      <c r="U112" s="132"/>
      <c r="V112" s="132"/>
      <c r="W112" s="131"/>
      <c r="Z112" s="133"/>
      <c r="AA112" s="133"/>
      <c r="AB112" s="133"/>
      <c r="AC112" s="133"/>
    </row>
    <row r="113" spans="1:29" customFormat="1" ht="25.5" customHeight="1" x14ac:dyDescent="0.25">
      <c r="A113" s="127">
        <v>151</v>
      </c>
      <c r="B113" s="175" t="s">
        <v>264</v>
      </c>
      <c r="C113" s="183" t="s">
        <v>228</v>
      </c>
      <c r="D113" s="183" t="s">
        <v>229</v>
      </c>
      <c r="E113" s="142" t="s">
        <v>463</v>
      </c>
      <c r="F113" s="175"/>
      <c r="G113" s="175" t="s">
        <v>28</v>
      </c>
      <c r="H113" s="180" t="s">
        <v>44</v>
      </c>
      <c r="I113" s="176"/>
      <c r="J113" s="129" t="s">
        <v>351</v>
      </c>
      <c r="K113" s="181" t="s">
        <v>182</v>
      </c>
      <c r="L113" s="155"/>
      <c r="M113" s="155"/>
      <c r="N113" s="179">
        <v>42553</v>
      </c>
      <c r="O113" s="179">
        <v>42554</v>
      </c>
      <c r="P113" s="179">
        <v>42555</v>
      </c>
      <c r="Q113" s="175" t="s">
        <v>346</v>
      </c>
      <c r="R113" s="179">
        <v>42572</v>
      </c>
      <c r="S113" s="179">
        <v>42576</v>
      </c>
      <c r="T113" s="179">
        <v>42689</v>
      </c>
      <c r="U113" s="179">
        <v>42731</v>
      </c>
      <c r="V113" s="155"/>
      <c r="W113" s="155"/>
      <c r="Z113" s="133"/>
      <c r="AA113" s="133"/>
      <c r="AB113" s="133"/>
      <c r="AC113" s="133"/>
    </row>
    <row r="114" spans="1:29" customFormat="1" ht="25.5" customHeight="1" x14ac:dyDescent="0.25">
      <c r="A114" s="127">
        <v>152</v>
      </c>
      <c r="B114" s="127" t="s">
        <v>264</v>
      </c>
      <c r="C114" s="153"/>
      <c r="D114" s="153"/>
      <c r="E114" s="142" t="s">
        <v>464</v>
      </c>
      <c r="F114" s="127"/>
      <c r="G114" s="127" t="s">
        <v>28</v>
      </c>
      <c r="H114" s="127" t="s">
        <v>29</v>
      </c>
      <c r="I114" s="147"/>
      <c r="J114" s="129" t="s">
        <v>351</v>
      </c>
      <c r="K114" s="130" t="s">
        <v>182</v>
      </c>
      <c r="L114" s="131"/>
      <c r="M114" s="131"/>
      <c r="N114" s="131">
        <v>42697</v>
      </c>
      <c r="O114" s="155">
        <v>42703</v>
      </c>
      <c r="P114" s="155">
        <v>42704</v>
      </c>
      <c r="Q114" s="154" t="s">
        <v>347</v>
      </c>
      <c r="R114" s="155">
        <v>42705</v>
      </c>
      <c r="S114" s="155">
        <v>42723</v>
      </c>
      <c r="T114" s="155">
        <v>42756</v>
      </c>
      <c r="U114" s="132">
        <v>42767</v>
      </c>
      <c r="V114" s="132">
        <v>42768</v>
      </c>
      <c r="W114" s="131"/>
      <c r="Z114" s="133"/>
      <c r="AA114" s="133"/>
      <c r="AB114" s="133"/>
      <c r="AC114" s="133"/>
    </row>
    <row r="115" spans="1:29" customFormat="1" ht="25.5" customHeight="1" x14ac:dyDescent="0.25">
      <c r="A115" s="127">
        <v>153</v>
      </c>
      <c r="B115" s="175" t="s">
        <v>264</v>
      </c>
      <c r="C115" s="183" t="s">
        <v>202</v>
      </c>
      <c r="D115" s="153"/>
      <c r="E115" s="142" t="s">
        <v>465</v>
      </c>
      <c r="F115" s="175"/>
      <c r="G115" s="175" t="s">
        <v>28</v>
      </c>
      <c r="H115" s="180" t="s">
        <v>29</v>
      </c>
      <c r="I115" s="176"/>
      <c r="J115" s="129" t="s">
        <v>351</v>
      </c>
      <c r="K115" s="181" t="s">
        <v>182</v>
      </c>
      <c r="L115" s="155"/>
      <c r="M115" s="155"/>
      <c r="N115" s="179">
        <v>42522</v>
      </c>
      <c r="O115" s="179">
        <v>42522</v>
      </c>
      <c r="P115" s="179">
        <v>42523</v>
      </c>
      <c r="Q115" s="175" t="s">
        <v>348</v>
      </c>
      <c r="R115" s="179">
        <v>42537</v>
      </c>
      <c r="S115" s="179">
        <v>42539</v>
      </c>
      <c r="T115" s="179">
        <v>42634</v>
      </c>
      <c r="U115" s="155"/>
      <c r="V115" s="155">
        <v>42636</v>
      </c>
      <c r="W115" s="155"/>
      <c r="Z115" s="133"/>
      <c r="AA115" s="133"/>
      <c r="AB115" s="133"/>
      <c r="AC115" s="133"/>
    </row>
    <row r="116" spans="1:29" customFormat="1" ht="25.5" customHeight="1" x14ac:dyDescent="0.25">
      <c r="A116" s="127">
        <v>154</v>
      </c>
      <c r="B116" s="175" t="s">
        <v>264</v>
      </c>
      <c r="C116" s="183" t="s">
        <v>231</v>
      </c>
      <c r="D116" s="183" t="s">
        <v>232</v>
      </c>
      <c r="E116" s="142" t="s">
        <v>466</v>
      </c>
      <c r="F116" s="175"/>
      <c r="G116" s="175" t="s">
        <v>64</v>
      </c>
      <c r="H116" s="180" t="s">
        <v>29</v>
      </c>
      <c r="I116" s="176"/>
      <c r="J116" s="129" t="s">
        <v>351</v>
      </c>
      <c r="K116" s="181" t="s">
        <v>49</v>
      </c>
      <c r="L116" s="131"/>
      <c r="M116" s="131"/>
      <c r="N116" s="179">
        <v>42598</v>
      </c>
      <c r="O116" s="179">
        <v>42598</v>
      </c>
      <c r="P116" s="179">
        <v>42599</v>
      </c>
      <c r="Q116" s="175" t="s">
        <v>349</v>
      </c>
      <c r="R116" s="179">
        <v>42618</v>
      </c>
      <c r="S116" s="179">
        <v>42633</v>
      </c>
      <c r="T116" s="179">
        <v>42663</v>
      </c>
      <c r="U116" s="132"/>
      <c r="V116" s="132"/>
      <c r="W116" s="131"/>
      <c r="Z116" s="133"/>
      <c r="AA116" s="133"/>
      <c r="AB116" s="133"/>
      <c r="AC116" s="133"/>
    </row>
    <row r="117" spans="1:29" x14ac:dyDescent="0.2">
      <c r="A117" s="127">
        <v>155</v>
      </c>
      <c r="B117" s="175" t="s">
        <v>264</v>
      </c>
      <c r="C117" s="153"/>
      <c r="D117" s="153"/>
      <c r="E117" s="142" t="s">
        <v>467</v>
      </c>
      <c r="F117" s="175"/>
      <c r="G117" s="175" t="s">
        <v>48</v>
      </c>
      <c r="H117" s="180" t="s">
        <v>29</v>
      </c>
      <c r="I117" s="189"/>
      <c r="J117" s="129" t="s">
        <v>351</v>
      </c>
      <c r="K117" s="181" t="s">
        <v>49</v>
      </c>
      <c r="L117" s="128"/>
      <c r="M117" s="128"/>
      <c r="N117" s="184">
        <v>42697</v>
      </c>
      <c r="O117" s="155"/>
      <c r="P117" s="155"/>
      <c r="Q117" s="129"/>
      <c r="R117" s="155"/>
      <c r="S117" s="179">
        <v>42705</v>
      </c>
      <c r="T117" s="179">
        <v>42724</v>
      </c>
      <c r="U117" s="182">
        <v>42724</v>
      </c>
      <c r="V117" s="182">
        <v>42724</v>
      </c>
      <c r="W117" s="184">
        <v>42722</v>
      </c>
      <c r="Z117" s="133"/>
      <c r="AA117" s="133"/>
      <c r="AB117" s="133"/>
      <c r="AC117" s="133"/>
    </row>
    <row r="118" spans="1:29" x14ac:dyDescent="0.2">
      <c r="Z118" s="133"/>
      <c r="AA118" s="133"/>
      <c r="AB118" s="133"/>
      <c r="AC118" s="133"/>
    </row>
    <row r="119" spans="1:29" x14ac:dyDescent="0.2">
      <c r="Z119" s="133"/>
      <c r="AA119" s="133"/>
      <c r="AB119" s="133"/>
      <c r="AC119" s="133"/>
    </row>
    <row r="120" spans="1:29" x14ac:dyDescent="0.2">
      <c r="Z120" s="133"/>
      <c r="AA120" s="133"/>
      <c r="AB120" s="133"/>
      <c r="AC120" s="133"/>
    </row>
    <row r="121" spans="1:29" x14ac:dyDescent="0.2">
      <c r="Z121" s="133"/>
      <c r="AA121" s="133"/>
      <c r="AB121" s="133"/>
      <c r="AC121" s="133"/>
    </row>
    <row r="122" spans="1:29" x14ac:dyDescent="0.2">
      <c r="Z122" s="133"/>
      <c r="AA122" s="133"/>
      <c r="AB122" s="133"/>
      <c r="AC122" s="133"/>
    </row>
    <row r="123" spans="1:29" x14ac:dyDescent="0.2">
      <c r="Z123" s="133"/>
      <c r="AA123" s="133"/>
      <c r="AB123" s="133"/>
      <c r="AC123" s="133"/>
    </row>
    <row r="124" spans="1:29" x14ac:dyDescent="0.2">
      <c r="Z124" s="133"/>
      <c r="AA124" s="133"/>
      <c r="AB124" s="133"/>
      <c r="AC124" s="133"/>
    </row>
    <row r="125" spans="1:29" x14ac:dyDescent="0.2">
      <c r="Z125" s="285"/>
      <c r="AA125" s="285"/>
      <c r="AB125" s="285"/>
      <c r="AC125" s="285"/>
    </row>
  </sheetData>
  <autoFilter ref="A1:W117"/>
  <sortState ref="A3:XDV3">
    <sortCondition ref="A3"/>
  </sortState>
  <dataValidations count="5">
    <dataValidation type="date" errorStyle="warning" operator="greaterThan" allowBlank="1" showInputMessage="1" showErrorMessage="1" error="ONLY DATES" prompt="ONLY DATES AS FORMAT_x000a_01-JAN-2016" sqref="N1:P13 O14:P15 R52:W1048576 N52:P1048576 R1:W50 N16:P50">
      <formula1>36526</formula1>
    </dataValidation>
    <dataValidation type="date" errorStyle="warning" operator="greaterThan" allowBlank="1" showInputMessage="1" showErrorMessage="1" error="ONLY DATES" prompt="ONLY DATES" sqref="N14:N15">
      <formula1>36526</formula1>
    </dataValidation>
    <dataValidation type="list" allowBlank="1" showInputMessage="1" showErrorMessage="1" sqref="H52:H1048576 H1:H50">
      <formula1>#REF!</formula1>
    </dataValidation>
    <dataValidation type="list" allowBlank="1" showInputMessage="1" showErrorMessage="1" sqref="K52:K1048576 K1:K50">
      <formula1>#REF!</formula1>
    </dataValidation>
    <dataValidation type="list" allowBlank="1" showInputMessage="1" showErrorMessage="1" sqref="G52:G1048576 G1:G50">
      <formula1>#REF!</formula1>
    </dataValidation>
  </dataValidations>
  <pageMargins left="0.25" right="0.25" top="0.75" bottom="0.75" header="0.3" footer="0.3"/>
  <pageSetup paperSize="154" scale="9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B140"/>
  <sheetViews>
    <sheetView showGridLines="0" tabSelected="1" zoomScale="85" zoomScaleNormal="85" workbookViewId="0">
      <selection activeCell="W4" sqref="W4"/>
    </sheetView>
  </sheetViews>
  <sheetFormatPr defaultColWidth="25.140625" defaultRowHeight="18" customHeight="1" x14ac:dyDescent="0.25"/>
  <cols>
    <col min="1" max="1" width="4.5703125" style="115" customWidth="1"/>
    <col min="2" max="2" width="10.7109375" style="115" customWidth="1"/>
    <col min="3" max="3" width="14.140625" style="115" customWidth="1"/>
    <col min="4" max="4" width="13.7109375" style="115" customWidth="1"/>
    <col min="5" max="5" width="31.85546875" style="19" customWidth="1"/>
    <col min="6" max="6" width="8.85546875" style="115" customWidth="1"/>
    <col min="7" max="7" width="12.42578125" style="115" customWidth="1"/>
    <col min="8" max="8" width="9.5703125" style="115" customWidth="1"/>
    <col min="9" max="9" width="27.140625" style="19" customWidth="1"/>
    <col min="10" max="10" width="13.5703125" style="115" customWidth="1"/>
    <col min="11" max="11" width="16.42578125" style="115" customWidth="1"/>
    <col min="12" max="12" width="11.5703125" style="116" customWidth="1"/>
    <col min="13" max="14" width="11.5703125" style="279" customWidth="1"/>
    <col min="15" max="15" width="12.42578125" style="280" customWidth="1"/>
    <col min="16" max="19" width="12.42578125" style="281" customWidth="1"/>
    <col min="20" max="20" width="12.42578125" style="116" customWidth="1"/>
    <col min="21" max="21" width="14.7109375" style="116" bestFit="1" customWidth="1"/>
    <col min="22" max="23" width="13.5703125" style="116" customWidth="1"/>
    <col min="24" max="24" width="3.7109375" style="19" customWidth="1"/>
    <col min="25" max="27" width="9.140625" style="19" customWidth="1"/>
    <col min="28" max="28" width="25.140625" style="19" customWidth="1"/>
    <col min="29" max="16384" width="25.140625" style="19"/>
  </cols>
  <sheetData>
    <row r="1" spans="1:28" customFormat="1" ht="28.5" customHeight="1" x14ac:dyDescent="0.25">
      <c r="A1" s="210" t="s">
        <v>0</v>
      </c>
      <c r="B1" s="211" t="s">
        <v>1</v>
      </c>
      <c r="C1" s="211" t="s">
        <v>2</v>
      </c>
      <c r="D1" s="211" t="s">
        <v>3</v>
      </c>
      <c r="E1" s="211" t="s">
        <v>4</v>
      </c>
      <c r="F1" s="211" t="s">
        <v>5</v>
      </c>
      <c r="G1" s="211" t="s">
        <v>6</v>
      </c>
      <c r="H1" s="211" t="s">
        <v>7</v>
      </c>
      <c r="I1" s="211" t="s">
        <v>8</v>
      </c>
      <c r="J1" s="211" t="s">
        <v>9</v>
      </c>
      <c r="K1" s="211" t="s">
        <v>10</v>
      </c>
      <c r="L1" s="212" t="s">
        <v>11</v>
      </c>
      <c r="M1" s="213" t="s">
        <v>12</v>
      </c>
      <c r="N1" s="213" t="s">
        <v>13</v>
      </c>
      <c r="O1" s="212" t="s">
        <v>14</v>
      </c>
      <c r="P1" s="213" t="s">
        <v>15</v>
      </c>
      <c r="Q1" s="213" t="s">
        <v>16</v>
      </c>
      <c r="R1" s="213" t="s">
        <v>17</v>
      </c>
      <c r="S1" s="213" t="s">
        <v>18</v>
      </c>
      <c r="T1" s="211" t="s">
        <v>19</v>
      </c>
      <c r="U1" s="212" t="s">
        <v>20</v>
      </c>
      <c r="V1" s="212" t="s">
        <v>21</v>
      </c>
      <c r="W1" s="214" t="s">
        <v>22</v>
      </c>
      <c r="X1" s="216"/>
      <c r="Y1" s="215" t="s">
        <v>24</v>
      </c>
      <c r="Z1" s="215" t="s">
        <v>25</v>
      </c>
      <c r="AA1" s="215" t="s">
        <v>26</v>
      </c>
      <c r="AB1" s="215" t="s">
        <v>27</v>
      </c>
    </row>
    <row r="2" spans="1:28" s="233" customFormat="1" ht="26.25" customHeight="1" x14ac:dyDescent="0.25">
      <c r="A2" s="198">
        <v>1</v>
      </c>
      <c r="B2" s="199" t="s">
        <v>468</v>
      </c>
      <c r="C2" s="200">
        <v>843</v>
      </c>
      <c r="D2" s="200"/>
      <c r="E2" s="201" t="s">
        <v>475</v>
      </c>
      <c r="F2" s="200">
        <v>240</v>
      </c>
      <c r="G2" s="202" t="s">
        <v>48</v>
      </c>
      <c r="H2" s="202" t="s">
        <v>79</v>
      </c>
      <c r="I2" s="203"/>
      <c r="J2" s="204" t="s">
        <v>351</v>
      </c>
      <c r="K2" s="200" t="s">
        <v>45</v>
      </c>
      <c r="L2" s="205"/>
      <c r="M2" s="206"/>
      <c r="N2" s="221">
        <v>42824</v>
      </c>
      <c r="O2" s="221">
        <v>42824</v>
      </c>
      <c r="P2" s="221">
        <v>42824</v>
      </c>
      <c r="Q2" s="200"/>
      <c r="R2" s="207"/>
      <c r="S2" s="207"/>
      <c r="T2" s="205"/>
      <c r="U2" s="205"/>
      <c r="V2" s="206"/>
      <c r="W2" s="197"/>
      <c r="X2" s="216"/>
      <c r="Y2" s="114"/>
      <c r="Z2" s="114"/>
      <c r="AA2" s="114"/>
      <c r="AB2" s="114"/>
    </row>
    <row r="3" spans="1:28" s="233" customFormat="1" ht="26.25" customHeight="1" x14ac:dyDescent="0.25">
      <c r="A3" s="198">
        <v>2</v>
      </c>
      <c r="B3" s="199" t="s">
        <v>468</v>
      </c>
      <c r="C3" s="200">
        <v>842</v>
      </c>
      <c r="D3" s="200"/>
      <c r="E3" s="201" t="s">
        <v>476</v>
      </c>
      <c r="F3" s="200">
        <v>185</v>
      </c>
      <c r="G3" s="202" t="s">
        <v>48</v>
      </c>
      <c r="H3" s="202" t="s">
        <v>79</v>
      </c>
      <c r="I3" s="203"/>
      <c r="J3" s="204" t="s">
        <v>351</v>
      </c>
      <c r="K3" s="200" t="s">
        <v>177</v>
      </c>
      <c r="L3" s="205"/>
      <c r="M3" s="206"/>
      <c r="N3" s="221">
        <v>42795</v>
      </c>
      <c r="O3" s="221">
        <v>42795</v>
      </c>
      <c r="P3" s="221">
        <v>42799</v>
      </c>
      <c r="Q3" s="200" t="s">
        <v>234</v>
      </c>
      <c r="R3" s="207">
        <v>42800</v>
      </c>
      <c r="S3" s="207">
        <v>42807</v>
      </c>
      <c r="T3" s="205">
        <v>42831</v>
      </c>
      <c r="U3" s="205">
        <f>T3+12</f>
        <v>42843</v>
      </c>
      <c r="V3" s="206"/>
      <c r="W3" s="197"/>
      <c r="X3" s="216"/>
      <c r="Y3" s="114"/>
      <c r="Z3" s="114"/>
      <c r="AA3" s="114"/>
      <c r="AB3" s="114"/>
    </row>
    <row r="4" spans="1:28" s="282" customFormat="1" ht="24" customHeight="1" x14ac:dyDescent="0.25">
      <c r="A4" s="198">
        <v>3</v>
      </c>
      <c r="B4" s="199" t="s">
        <v>468</v>
      </c>
      <c r="C4" s="200">
        <v>841</v>
      </c>
      <c r="D4" s="200"/>
      <c r="E4" s="201" t="s">
        <v>477</v>
      </c>
      <c r="F4" s="200">
        <v>150</v>
      </c>
      <c r="G4" s="202" t="s">
        <v>48</v>
      </c>
      <c r="H4" s="202" t="s">
        <v>79</v>
      </c>
      <c r="I4" s="203"/>
      <c r="J4" s="204" t="s">
        <v>351</v>
      </c>
      <c r="K4" s="200" t="s">
        <v>177</v>
      </c>
      <c r="L4" s="205"/>
      <c r="M4" s="206"/>
      <c r="N4" s="221">
        <v>42795</v>
      </c>
      <c r="O4" s="221">
        <v>42795</v>
      </c>
      <c r="P4" s="221">
        <v>42799</v>
      </c>
      <c r="Q4" s="200" t="s">
        <v>234</v>
      </c>
      <c r="R4" s="207">
        <v>42802</v>
      </c>
      <c r="S4" s="207">
        <v>42802</v>
      </c>
      <c r="T4" s="205">
        <v>42831</v>
      </c>
      <c r="U4" s="205">
        <f>T4+12</f>
        <v>42843</v>
      </c>
      <c r="V4" s="206"/>
      <c r="W4" s="197"/>
      <c r="X4" s="209"/>
      <c r="Y4" s="114"/>
      <c r="Z4" s="114"/>
      <c r="AA4" s="114"/>
      <c r="AB4" s="114"/>
    </row>
    <row r="5" spans="1:28" s="282" customFormat="1" ht="24" customHeight="1" x14ac:dyDescent="0.25">
      <c r="A5" s="198">
        <v>4</v>
      </c>
      <c r="B5" s="199" t="s">
        <v>468</v>
      </c>
      <c r="C5" s="200">
        <v>840</v>
      </c>
      <c r="D5" s="200"/>
      <c r="E5" s="201" t="s">
        <v>478</v>
      </c>
      <c r="F5" s="200">
        <v>220</v>
      </c>
      <c r="G5" s="202" t="s">
        <v>28</v>
      </c>
      <c r="H5" s="202" t="s">
        <v>29</v>
      </c>
      <c r="I5" s="203"/>
      <c r="J5" s="204" t="s">
        <v>351</v>
      </c>
      <c r="K5" s="226" t="s">
        <v>30</v>
      </c>
      <c r="L5" s="205"/>
      <c r="M5" s="206"/>
      <c r="N5" s="205">
        <v>42794</v>
      </c>
      <c r="O5" s="205">
        <v>42794</v>
      </c>
      <c r="P5" s="205">
        <v>42794</v>
      </c>
      <c r="Q5" s="200">
        <v>17000203</v>
      </c>
      <c r="R5" s="207">
        <v>42799</v>
      </c>
      <c r="S5" s="222">
        <v>42799</v>
      </c>
      <c r="T5" s="205">
        <f>S5+25</f>
        <v>42824</v>
      </c>
      <c r="U5" s="205">
        <f t="shared" ref="U5" si="0">T5+14</f>
        <v>42838</v>
      </c>
      <c r="V5" s="206"/>
      <c r="W5" s="197"/>
      <c r="X5" s="209"/>
      <c r="Y5" s="114"/>
      <c r="Z5" s="114"/>
      <c r="AA5" s="114"/>
      <c r="AB5" s="114"/>
    </row>
    <row r="6" spans="1:28" s="282" customFormat="1" ht="24" customHeight="1" x14ac:dyDescent="0.25">
      <c r="A6" s="198">
        <v>5</v>
      </c>
      <c r="B6" s="199" t="s">
        <v>468</v>
      </c>
      <c r="C6" s="200">
        <v>839</v>
      </c>
      <c r="D6" s="200"/>
      <c r="E6" s="201" t="s">
        <v>479</v>
      </c>
      <c r="F6" s="200">
        <v>290</v>
      </c>
      <c r="G6" s="202" t="s">
        <v>48</v>
      </c>
      <c r="H6" s="202" t="s">
        <v>29</v>
      </c>
      <c r="I6" s="203"/>
      <c r="J6" s="204" t="s">
        <v>351</v>
      </c>
      <c r="K6" s="226" t="s">
        <v>30</v>
      </c>
      <c r="L6" s="205"/>
      <c r="M6" s="206"/>
      <c r="N6" s="205">
        <v>42789</v>
      </c>
      <c r="O6" s="205">
        <v>42789</v>
      </c>
      <c r="P6" s="205">
        <v>42789</v>
      </c>
      <c r="Q6" s="200">
        <v>17000184</v>
      </c>
      <c r="R6" s="207">
        <v>42794</v>
      </c>
      <c r="S6" s="208">
        <v>42801</v>
      </c>
      <c r="T6" s="205">
        <f t="shared" ref="T6:T12" si="1">S6+23</f>
        <v>42824</v>
      </c>
      <c r="U6" s="205">
        <f t="shared" ref="U6:U10" si="2">T6+14</f>
        <v>42838</v>
      </c>
      <c r="V6" s="206"/>
      <c r="W6" s="197"/>
      <c r="X6" s="209"/>
      <c r="Y6" s="114"/>
      <c r="Z6" s="114"/>
      <c r="AA6" s="114"/>
      <c r="AB6" s="114"/>
    </row>
    <row r="7" spans="1:28" s="282" customFormat="1" ht="24" customHeight="1" x14ac:dyDescent="0.25">
      <c r="A7" s="198">
        <v>6</v>
      </c>
      <c r="B7" s="199" t="s">
        <v>468</v>
      </c>
      <c r="C7" s="200">
        <v>838</v>
      </c>
      <c r="D7" s="200"/>
      <c r="E7" s="201" t="s">
        <v>480</v>
      </c>
      <c r="F7" s="200">
        <v>92</v>
      </c>
      <c r="G7" s="202" t="s">
        <v>48</v>
      </c>
      <c r="H7" s="202" t="s">
        <v>29</v>
      </c>
      <c r="I7" s="203"/>
      <c r="J7" s="204" t="s">
        <v>351</v>
      </c>
      <c r="K7" s="226" t="s">
        <v>30</v>
      </c>
      <c r="L7" s="205"/>
      <c r="M7" s="205"/>
      <c r="N7" s="205">
        <v>42789</v>
      </c>
      <c r="O7" s="205">
        <v>42789</v>
      </c>
      <c r="P7" s="205">
        <v>42789</v>
      </c>
      <c r="Q7" s="200">
        <v>17000184</v>
      </c>
      <c r="R7" s="208">
        <v>42794</v>
      </c>
      <c r="S7" s="208">
        <v>42801</v>
      </c>
      <c r="T7" s="205">
        <f t="shared" si="1"/>
        <v>42824</v>
      </c>
      <c r="U7" s="205">
        <f t="shared" si="2"/>
        <v>42838</v>
      </c>
      <c r="V7" s="205"/>
      <c r="W7" s="197"/>
      <c r="X7" s="209"/>
      <c r="Y7" s="114"/>
      <c r="Z7" s="114"/>
      <c r="AA7" s="114"/>
      <c r="AB7" s="114"/>
    </row>
    <row r="8" spans="1:28" s="282" customFormat="1" ht="24" customHeight="1" x14ac:dyDescent="0.25">
      <c r="A8" s="198">
        <v>7</v>
      </c>
      <c r="B8" s="199" t="s">
        <v>468</v>
      </c>
      <c r="C8" s="200">
        <v>837</v>
      </c>
      <c r="D8" s="200"/>
      <c r="E8" s="201" t="s">
        <v>481</v>
      </c>
      <c r="F8" s="200">
        <v>55</v>
      </c>
      <c r="G8" s="202" t="s">
        <v>48</v>
      </c>
      <c r="H8" s="202" t="s">
        <v>29</v>
      </c>
      <c r="I8" s="203"/>
      <c r="J8" s="204" t="s">
        <v>351</v>
      </c>
      <c r="K8" s="226" t="s">
        <v>30</v>
      </c>
      <c r="L8" s="205"/>
      <c r="M8" s="206"/>
      <c r="N8" s="205">
        <v>42789</v>
      </c>
      <c r="O8" s="205">
        <v>42789</v>
      </c>
      <c r="P8" s="205">
        <v>42789</v>
      </c>
      <c r="Q8" s="200">
        <v>17000184</v>
      </c>
      <c r="R8" s="207">
        <v>42794</v>
      </c>
      <c r="S8" s="208">
        <v>42801</v>
      </c>
      <c r="T8" s="205">
        <f t="shared" si="1"/>
        <v>42824</v>
      </c>
      <c r="U8" s="205">
        <f t="shared" si="2"/>
        <v>42838</v>
      </c>
      <c r="V8" s="206"/>
      <c r="W8" s="197"/>
      <c r="X8" s="209"/>
      <c r="Y8" s="114"/>
      <c r="Z8" s="114"/>
      <c r="AA8" s="114"/>
      <c r="AB8" s="114"/>
    </row>
    <row r="9" spans="1:28" s="282" customFormat="1" ht="24" customHeight="1" x14ac:dyDescent="0.25">
      <c r="A9" s="198">
        <v>8</v>
      </c>
      <c r="B9" s="199" t="s">
        <v>468</v>
      </c>
      <c r="C9" s="200">
        <v>836</v>
      </c>
      <c r="D9" s="200"/>
      <c r="E9" s="201" t="s">
        <v>482</v>
      </c>
      <c r="F9" s="200">
        <v>89</v>
      </c>
      <c r="G9" s="202" t="s">
        <v>48</v>
      </c>
      <c r="H9" s="202" t="s">
        <v>29</v>
      </c>
      <c r="I9" s="203"/>
      <c r="J9" s="204" t="s">
        <v>351</v>
      </c>
      <c r="K9" s="226" t="s">
        <v>30</v>
      </c>
      <c r="L9" s="205"/>
      <c r="M9" s="206"/>
      <c r="N9" s="205">
        <v>42789</v>
      </c>
      <c r="O9" s="205">
        <v>42789</v>
      </c>
      <c r="P9" s="205">
        <v>42789</v>
      </c>
      <c r="Q9" s="200">
        <v>17000184</v>
      </c>
      <c r="R9" s="208">
        <v>42794</v>
      </c>
      <c r="S9" s="208">
        <v>42801</v>
      </c>
      <c r="T9" s="205">
        <f t="shared" si="1"/>
        <v>42824</v>
      </c>
      <c r="U9" s="205">
        <f t="shared" si="2"/>
        <v>42838</v>
      </c>
      <c r="V9" s="206"/>
      <c r="W9" s="197"/>
      <c r="X9" s="209"/>
      <c r="Y9" s="114"/>
      <c r="Z9" s="114"/>
      <c r="AA9" s="114"/>
      <c r="AB9" s="114"/>
    </row>
    <row r="10" spans="1:28" s="282" customFormat="1" ht="24" customHeight="1" x14ac:dyDescent="0.25">
      <c r="A10" s="198">
        <v>9</v>
      </c>
      <c r="B10" s="199" t="s">
        <v>468</v>
      </c>
      <c r="C10" s="200">
        <v>835</v>
      </c>
      <c r="D10" s="200"/>
      <c r="E10" s="201" t="s">
        <v>483</v>
      </c>
      <c r="F10" s="200">
        <v>51</v>
      </c>
      <c r="G10" s="202" t="s">
        <v>48</v>
      </c>
      <c r="H10" s="202" t="s">
        <v>29</v>
      </c>
      <c r="I10" s="203"/>
      <c r="J10" s="204" t="s">
        <v>351</v>
      </c>
      <c r="K10" s="226" t="s">
        <v>30</v>
      </c>
      <c r="L10" s="205"/>
      <c r="M10" s="206"/>
      <c r="N10" s="205">
        <v>42789</v>
      </c>
      <c r="O10" s="205">
        <v>42789</v>
      </c>
      <c r="P10" s="205">
        <v>42789</v>
      </c>
      <c r="Q10" s="200">
        <v>17000184</v>
      </c>
      <c r="R10" s="207">
        <v>42794</v>
      </c>
      <c r="S10" s="208">
        <v>42801</v>
      </c>
      <c r="T10" s="205">
        <f t="shared" si="1"/>
        <v>42824</v>
      </c>
      <c r="U10" s="205">
        <f t="shared" si="2"/>
        <v>42838</v>
      </c>
      <c r="V10" s="206"/>
      <c r="W10" s="197"/>
      <c r="X10" s="209"/>
      <c r="Y10" s="114"/>
      <c r="Z10" s="114"/>
      <c r="AA10" s="114"/>
      <c r="AB10" s="114"/>
    </row>
    <row r="11" spans="1:28" s="282" customFormat="1" ht="24" customHeight="1" x14ac:dyDescent="0.25">
      <c r="A11" s="198">
        <v>10</v>
      </c>
      <c r="B11" s="199" t="s">
        <v>468</v>
      </c>
      <c r="C11" s="200">
        <v>834</v>
      </c>
      <c r="D11" s="200"/>
      <c r="E11" s="201" t="s">
        <v>484</v>
      </c>
      <c r="F11" s="200">
        <v>29</v>
      </c>
      <c r="G11" s="202" t="s">
        <v>48</v>
      </c>
      <c r="H11" s="202" t="s">
        <v>29</v>
      </c>
      <c r="I11" s="203"/>
      <c r="J11" s="204" t="s">
        <v>351</v>
      </c>
      <c r="K11" s="226" t="s">
        <v>30</v>
      </c>
      <c r="L11" s="205"/>
      <c r="M11" s="206"/>
      <c r="N11" s="205">
        <v>42789</v>
      </c>
      <c r="O11" s="205">
        <v>42789</v>
      </c>
      <c r="P11" s="205">
        <v>42789</v>
      </c>
      <c r="Q11" s="200">
        <v>17000184</v>
      </c>
      <c r="R11" s="208">
        <v>42794</v>
      </c>
      <c r="S11" s="208">
        <v>42801</v>
      </c>
      <c r="T11" s="205">
        <f t="shared" si="1"/>
        <v>42824</v>
      </c>
      <c r="U11" s="205">
        <f>T11+14</f>
        <v>42838</v>
      </c>
      <c r="V11" s="206"/>
      <c r="W11" s="197"/>
      <c r="X11" s="209"/>
      <c r="Y11" s="114"/>
      <c r="Z11" s="114"/>
      <c r="AA11" s="114"/>
      <c r="AB11" s="114"/>
    </row>
    <row r="12" spans="1:28" s="233" customFormat="1" ht="22.5" customHeight="1" x14ac:dyDescent="0.25">
      <c r="A12" s="198">
        <v>11</v>
      </c>
      <c r="B12" s="199" t="s">
        <v>468</v>
      </c>
      <c r="C12" s="200">
        <v>833</v>
      </c>
      <c r="D12" s="200"/>
      <c r="E12" s="201" t="s">
        <v>485</v>
      </c>
      <c r="F12" s="200">
        <v>47</v>
      </c>
      <c r="G12" s="202" t="s">
        <v>48</v>
      </c>
      <c r="H12" s="202" t="s">
        <v>29</v>
      </c>
      <c r="I12" s="203"/>
      <c r="J12" s="204" t="s">
        <v>351</v>
      </c>
      <c r="K12" s="226" t="s">
        <v>30</v>
      </c>
      <c r="L12" s="205"/>
      <c r="M12" s="206"/>
      <c r="N12" s="205">
        <v>42789</v>
      </c>
      <c r="O12" s="205">
        <v>42789</v>
      </c>
      <c r="P12" s="205">
        <v>42789</v>
      </c>
      <c r="Q12" s="200">
        <v>17000184</v>
      </c>
      <c r="R12" s="207">
        <v>42794</v>
      </c>
      <c r="S12" s="208">
        <v>42801</v>
      </c>
      <c r="T12" s="205">
        <f t="shared" si="1"/>
        <v>42824</v>
      </c>
      <c r="U12" s="205">
        <f>T12+14</f>
        <v>42838</v>
      </c>
      <c r="V12" s="206"/>
      <c r="W12" s="197"/>
      <c r="X12" s="216"/>
      <c r="Y12" s="114"/>
      <c r="Z12" s="114"/>
      <c r="AA12" s="114"/>
      <c r="AB12" s="114"/>
    </row>
    <row r="13" spans="1:28" s="282" customFormat="1" ht="24" customHeight="1" x14ac:dyDescent="0.25">
      <c r="A13" s="223">
        <v>12</v>
      </c>
      <c r="B13" s="199" t="s">
        <v>468</v>
      </c>
      <c r="C13" s="200">
        <v>831</v>
      </c>
      <c r="D13" s="200"/>
      <c r="E13" s="201" t="s">
        <v>486</v>
      </c>
      <c r="F13" s="200">
        <v>450</v>
      </c>
      <c r="G13" s="202" t="s">
        <v>48</v>
      </c>
      <c r="H13" s="202" t="s">
        <v>29</v>
      </c>
      <c r="I13" s="203"/>
      <c r="J13" s="204" t="s">
        <v>351</v>
      </c>
      <c r="K13" s="200" t="s">
        <v>177</v>
      </c>
      <c r="L13" s="205"/>
      <c r="M13" s="206"/>
      <c r="N13" s="205">
        <v>42792</v>
      </c>
      <c r="O13" s="205">
        <v>42792</v>
      </c>
      <c r="P13" s="205">
        <v>42793</v>
      </c>
      <c r="Q13" s="200" t="s">
        <v>234</v>
      </c>
      <c r="R13" s="207">
        <v>42796</v>
      </c>
      <c r="S13" s="222">
        <v>42801</v>
      </c>
      <c r="T13" s="205">
        <v>42830</v>
      </c>
      <c r="U13" s="205">
        <f>T13+12</f>
        <v>42842</v>
      </c>
      <c r="V13" s="206"/>
      <c r="W13" s="197"/>
      <c r="X13" s="209"/>
      <c r="Y13" s="114"/>
      <c r="Z13" s="114"/>
      <c r="AA13" s="114"/>
      <c r="AB13" s="114"/>
    </row>
    <row r="14" spans="1:28" s="233" customFormat="1" ht="22.5" customHeight="1" x14ac:dyDescent="0.25">
      <c r="A14" s="223">
        <v>13</v>
      </c>
      <c r="B14" s="199" t="s">
        <v>468</v>
      </c>
      <c r="C14" s="224">
        <v>820</v>
      </c>
      <c r="D14" s="224"/>
      <c r="E14" s="201" t="s">
        <v>487</v>
      </c>
      <c r="F14" s="224">
        <v>225</v>
      </c>
      <c r="G14" s="225" t="s">
        <v>28</v>
      </c>
      <c r="H14" s="225" t="s">
        <v>44</v>
      </c>
      <c r="I14" s="203"/>
      <c r="J14" s="204" t="s">
        <v>351</v>
      </c>
      <c r="K14" s="226" t="s">
        <v>30</v>
      </c>
      <c r="L14" s="205"/>
      <c r="M14" s="205"/>
      <c r="N14" s="227">
        <v>42795</v>
      </c>
      <c r="O14" s="227">
        <v>42795</v>
      </c>
      <c r="P14" s="227">
        <v>42796</v>
      </c>
      <c r="Q14" s="228" t="s">
        <v>235</v>
      </c>
      <c r="R14" s="208">
        <v>42799</v>
      </c>
      <c r="S14" s="208">
        <v>42799</v>
      </c>
      <c r="T14" s="205">
        <f>S14+27</f>
        <v>42826</v>
      </c>
      <c r="U14" s="205">
        <f>T14+14</f>
        <v>42840</v>
      </c>
      <c r="V14" s="205"/>
      <c r="W14" s="197"/>
      <c r="X14" s="216"/>
      <c r="Y14" s="114"/>
      <c r="Z14" s="114"/>
      <c r="AA14" s="114"/>
      <c r="AB14" s="114"/>
    </row>
    <row r="15" spans="1:28" s="233" customFormat="1" ht="22.5" customHeight="1" x14ac:dyDescent="0.25">
      <c r="A15" s="223">
        <v>14</v>
      </c>
      <c r="B15" s="199" t="s">
        <v>468</v>
      </c>
      <c r="C15" s="224" t="s">
        <v>469</v>
      </c>
      <c r="D15" s="224"/>
      <c r="E15" s="201" t="s">
        <v>488</v>
      </c>
      <c r="F15" s="224">
        <v>215</v>
      </c>
      <c r="G15" s="225" t="s">
        <v>28</v>
      </c>
      <c r="H15" s="225" t="s">
        <v>44</v>
      </c>
      <c r="I15" s="203"/>
      <c r="J15" s="204" t="s">
        <v>351</v>
      </c>
      <c r="K15" s="226" t="s">
        <v>30</v>
      </c>
      <c r="L15" s="205"/>
      <c r="M15" s="205"/>
      <c r="N15" s="227">
        <v>42795</v>
      </c>
      <c r="O15" s="227">
        <v>42795</v>
      </c>
      <c r="P15" s="227">
        <v>42796</v>
      </c>
      <c r="Q15" s="228" t="s">
        <v>235</v>
      </c>
      <c r="R15" s="208">
        <v>42799</v>
      </c>
      <c r="S15" s="208">
        <v>42799</v>
      </c>
      <c r="T15" s="205">
        <f>S15+27</f>
        <v>42826</v>
      </c>
      <c r="U15" s="205">
        <f>T15+14</f>
        <v>42840</v>
      </c>
      <c r="V15" s="205"/>
      <c r="W15" s="197"/>
      <c r="X15" s="216"/>
      <c r="Y15" s="114"/>
      <c r="Z15" s="114"/>
      <c r="AA15" s="114"/>
      <c r="AB15" s="114"/>
    </row>
    <row r="16" spans="1:28" s="282" customFormat="1" ht="24" customHeight="1" x14ac:dyDescent="0.25">
      <c r="A16" s="223">
        <v>15</v>
      </c>
      <c r="B16" s="199" t="s">
        <v>468</v>
      </c>
      <c r="C16" s="224">
        <v>821</v>
      </c>
      <c r="D16" s="224"/>
      <c r="E16" s="201" t="s">
        <v>489</v>
      </c>
      <c r="F16" s="224">
        <v>235</v>
      </c>
      <c r="G16" s="225" t="s">
        <v>28</v>
      </c>
      <c r="H16" s="225" t="s">
        <v>44</v>
      </c>
      <c r="I16" s="203"/>
      <c r="J16" s="204" t="s">
        <v>351</v>
      </c>
      <c r="K16" s="226" t="s">
        <v>30</v>
      </c>
      <c r="L16" s="205"/>
      <c r="M16" s="205"/>
      <c r="N16" s="227">
        <v>42795</v>
      </c>
      <c r="O16" s="227">
        <v>42795</v>
      </c>
      <c r="P16" s="227">
        <v>42796</v>
      </c>
      <c r="Q16" s="284" t="s">
        <v>236</v>
      </c>
      <c r="R16" s="208">
        <v>42815</v>
      </c>
      <c r="S16" s="228"/>
      <c r="T16" s="205"/>
      <c r="U16" s="205"/>
      <c r="V16" s="205"/>
      <c r="W16" s="197"/>
      <c r="X16" s="209"/>
      <c r="Y16" s="114"/>
      <c r="Z16" s="114"/>
      <c r="AA16" s="114"/>
      <c r="AB16" s="114"/>
    </row>
    <row r="17" spans="1:28" s="282" customFormat="1" ht="36" customHeight="1" x14ac:dyDescent="0.25">
      <c r="A17" s="198">
        <v>16</v>
      </c>
      <c r="B17" s="199" t="s">
        <v>468</v>
      </c>
      <c r="C17" s="224">
        <v>822</v>
      </c>
      <c r="D17" s="224"/>
      <c r="E17" s="201" t="s">
        <v>490</v>
      </c>
      <c r="F17" s="224">
        <v>235</v>
      </c>
      <c r="G17" s="225" t="s">
        <v>28</v>
      </c>
      <c r="H17" s="225" t="s">
        <v>44</v>
      </c>
      <c r="I17" s="203"/>
      <c r="J17" s="204" t="s">
        <v>351</v>
      </c>
      <c r="K17" s="200" t="s">
        <v>71</v>
      </c>
      <c r="L17" s="205"/>
      <c r="M17" s="205"/>
      <c r="N17" s="227">
        <v>42795</v>
      </c>
      <c r="O17" s="227">
        <v>42795</v>
      </c>
      <c r="P17" s="227">
        <v>42796</v>
      </c>
      <c r="Q17" s="228"/>
      <c r="R17" s="208"/>
      <c r="S17" s="228"/>
      <c r="T17" s="205"/>
      <c r="U17" s="205"/>
      <c r="V17" s="205"/>
      <c r="W17" s="197"/>
      <c r="X17" s="209"/>
      <c r="Y17" s="114"/>
      <c r="Z17" s="114"/>
      <c r="AA17" s="114"/>
      <c r="AB17" s="114"/>
    </row>
    <row r="18" spans="1:28" s="282" customFormat="1" ht="24" customHeight="1" x14ac:dyDescent="0.25">
      <c r="A18" s="198">
        <v>17</v>
      </c>
      <c r="B18" s="199" t="s">
        <v>468</v>
      </c>
      <c r="C18" s="200" t="s">
        <v>470</v>
      </c>
      <c r="D18" s="200"/>
      <c r="E18" s="201" t="s">
        <v>491</v>
      </c>
      <c r="F18" s="200">
        <v>125</v>
      </c>
      <c r="G18" s="202" t="s">
        <v>48</v>
      </c>
      <c r="H18" s="202" t="s">
        <v>79</v>
      </c>
      <c r="I18" s="203"/>
      <c r="J18" s="204" t="s">
        <v>351</v>
      </c>
      <c r="K18" s="200" t="s">
        <v>40</v>
      </c>
      <c r="L18" s="205"/>
      <c r="M18" s="206"/>
      <c r="N18" s="205">
        <v>42780</v>
      </c>
      <c r="O18" s="205">
        <v>42780</v>
      </c>
      <c r="P18" s="205">
        <v>42780</v>
      </c>
      <c r="Q18" s="200" t="s">
        <v>234</v>
      </c>
      <c r="R18" s="207">
        <v>42780</v>
      </c>
      <c r="S18" s="207">
        <v>42781</v>
      </c>
      <c r="T18" s="205">
        <v>42823</v>
      </c>
      <c r="U18" s="205">
        <f>T18+12</f>
        <v>42835</v>
      </c>
      <c r="V18" s="206"/>
      <c r="W18" s="197"/>
      <c r="X18" s="209"/>
      <c r="Y18" s="114"/>
      <c r="Z18" s="114"/>
      <c r="AA18" s="114"/>
      <c r="AB18" s="114"/>
    </row>
    <row r="19" spans="1:28" s="282" customFormat="1" ht="24" customHeight="1" x14ac:dyDescent="0.25">
      <c r="A19" s="198">
        <v>18</v>
      </c>
      <c r="B19" s="199" t="s">
        <v>468</v>
      </c>
      <c r="C19" s="200" t="s">
        <v>237</v>
      </c>
      <c r="D19" s="200"/>
      <c r="E19" s="201" t="s">
        <v>492</v>
      </c>
      <c r="F19" s="200">
        <v>0</v>
      </c>
      <c r="G19" s="202" t="s">
        <v>64</v>
      </c>
      <c r="H19" s="202" t="s">
        <v>44</v>
      </c>
      <c r="I19" s="203"/>
      <c r="J19" s="204" t="s">
        <v>351</v>
      </c>
      <c r="K19" s="226" t="s">
        <v>30</v>
      </c>
      <c r="L19" s="205"/>
      <c r="M19" s="206"/>
      <c r="N19" s="205">
        <v>42778</v>
      </c>
      <c r="O19" s="205">
        <v>42778</v>
      </c>
      <c r="P19" s="205">
        <v>42780</v>
      </c>
      <c r="Q19" s="200">
        <v>17000105</v>
      </c>
      <c r="R19" s="205">
        <v>42781</v>
      </c>
      <c r="S19" s="205">
        <v>42781</v>
      </c>
      <c r="T19" s="205">
        <f>S19+25</f>
        <v>42806</v>
      </c>
      <c r="U19" s="205">
        <v>42817</v>
      </c>
      <c r="V19" s="206"/>
      <c r="W19" s="197"/>
      <c r="X19" s="209"/>
      <c r="Y19" s="114"/>
      <c r="Z19" s="114"/>
      <c r="AA19" s="114"/>
      <c r="AB19" s="114"/>
    </row>
    <row r="20" spans="1:28" s="282" customFormat="1" ht="24" customHeight="1" x14ac:dyDescent="0.25">
      <c r="A20" s="198">
        <v>19</v>
      </c>
      <c r="B20" s="199" t="s">
        <v>468</v>
      </c>
      <c r="C20" s="200">
        <v>762</v>
      </c>
      <c r="D20" s="200"/>
      <c r="E20" s="201" t="s">
        <v>493</v>
      </c>
      <c r="F20" s="200">
        <v>135</v>
      </c>
      <c r="G20" s="202" t="s">
        <v>48</v>
      </c>
      <c r="H20" s="202" t="s">
        <v>79</v>
      </c>
      <c r="I20" s="203"/>
      <c r="J20" s="204" t="s">
        <v>351</v>
      </c>
      <c r="K20" s="226" t="s">
        <v>30</v>
      </c>
      <c r="L20" s="205"/>
      <c r="M20" s="206"/>
      <c r="N20" s="205">
        <v>42772</v>
      </c>
      <c r="O20" s="205">
        <v>42772</v>
      </c>
      <c r="P20" s="205">
        <v>42772</v>
      </c>
      <c r="Q20" s="200">
        <v>17000059</v>
      </c>
      <c r="R20" s="207">
        <v>42773</v>
      </c>
      <c r="S20" s="206">
        <v>42775</v>
      </c>
      <c r="T20" s="205">
        <f>S20+14</f>
        <v>42789</v>
      </c>
      <c r="U20" s="205">
        <f>T20+14</f>
        <v>42803</v>
      </c>
      <c r="V20" s="206"/>
      <c r="W20" s="197"/>
      <c r="X20" s="209"/>
      <c r="Y20" s="114"/>
      <c r="Z20" s="114"/>
      <c r="AA20" s="114"/>
      <c r="AB20" s="114"/>
    </row>
    <row r="21" spans="1:28" s="282" customFormat="1" ht="24" customHeight="1" x14ac:dyDescent="0.25">
      <c r="A21" s="198">
        <v>20</v>
      </c>
      <c r="B21" s="199" t="s">
        <v>468</v>
      </c>
      <c r="C21" s="200">
        <v>816</v>
      </c>
      <c r="D21" s="200"/>
      <c r="E21" s="201" t="s">
        <v>494</v>
      </c>
      <c r="F21" s="200">
        <v>180</v>
      </c>
      <c r="G21" s="202" t="s">
        <v>28</v>
      </c>
      <c r="H21" s="202" t="s">
        <v>44</v>
      </c>
      <c r="I21" s="203"/>
      <c r="J21" s="204" t="s">
        <v>351</v>
      </c>
      <c r="K21" s="226" t="s">
        <v>30</v>
      </c>
      <c r="L21" s="205"/>
      <c r="M21" s="206"/>
      <c r="N21" s="205">
        <v>42766</v>
      </c>
      <c r="O21" s="205">
        <v>42766</v>
      </c>
      <c r="P21" s="205">
        <v>42766</v>
      </c>
      <c r="Q21" s="200">
        <v>17000080</v>
      </c>
      <c r="R21" s="206">
        <v>42778</v>
      </c>
      <c r="S21" s="206">
        <v>42785</v>
      </c>
      <c r="T21" s="205">
        <v>42843</v>
      </c>
      <c r="U21" s="205">
        <f>T21+13</f>
        <v>42856</v>
      </c>
      <c r="V21" s="206"/>
      <c r="W21" s="197"/>
      <c r="X21" s="209"/>
      <c r="Y21" s="114"/>
      <c r="Z21" s="114"/>
      <c r="AA21" s="114"/>
      <c r="AB21" s="114"/>
    </row>
    <row r="22" spans="1:28" s="282" customFormat="1" ht="24" customHeight="1" x14ac:dyDescent="0.25">
      <c r="A22" s="198">
        <v>24</v>
      </c>
      <c r="B22" s="199" t="s">
        <v>468</v>
      </c>
      <c r="C22" s="200">
        <v>817</v>
      </c>
      <c r="D22" s="200"/>
      <c r="E22" s="201" t="s">
        <v>495</v>
      </c>
      <c r="F22" s="200">
        <v>126</v>
      </c>
      <c r="G22" s="202" t="s">
        <v>28</v>
      </c>
      <c r="H22" s="202" t="s">
        <v>44</v>
      </c>
      <c r="I22" s="203"/>
      <c r="J22" s="204" t="s">
        <v>351</v>
      </c>
      <c r="K22" s="226" t="s">
        <v>30</v>
      </c>
      <c r="L22" s="205"/>
      <c r="M22" s="206"/>
      <c r="N22" s="205">
        <v>42766</v>
      </c>
      <c r="O22" s="205">
        <v>42766</v>
      </c>
      <c r="P22" s="205">
        <v>42766</v>
      </c>
      <c r="Q22" s="200">
        <v>17000080</v>
      </c>
      <c r="R22" s="206">
        <v>42778</v>
      </c>
      <c r="S22" s="206">
        <v>42782</v>
      </c>
      <c r="T22" s="205">
        <v>42843</v>
      </c>
      <c r="U22" s="205">
        <f>T22+13</f>
        <v>42856</v>
      </c>
      <c r="V22" s="206"/>
      <c r="W22" s="197"/>
      <c r="X22" s="209"/>
      <c r="Y22" s="114"/>
      <c r="Z22" s="114"/>
      <c r="AA22" s="114"/>
      <c r="AB22" s="114"/>
    </row>
    <row r="23" spans="1:28" s="233" customFormat="1" ht="22.5" customHeight="1" x14ac:dyDescent="0.25">
      <c r="A23" s="198">
        <v>25</v>
      </c>
      <c r="B23" s="217" t="s">
        <v>468</v>
      </c>
      <c r="C23" s="200" t="s">
        <v>471</v>
      </c>
      <c r="D23" s="200"/>
      <c r="E23" s="201" t="s">
        <v>496</v>
      </c>
      <c r="F23" s="200">
        <v>125</v>
      </c>
      <c r="G23" s="202" t="s">
        <v>48</v>
      </c>
      <c r="H23" s="202" t="s">
        <v>79</v>
      </c>
      <c r="I23" s="203"/>
      <c r="J23" s="204" t="s">
        <v>351</v>
      </c>
      <c r="K23" s="226" t="s">
        <v>30</v>
      </c>
      <c r="L23" s="218"/>
      <c r="M23" s="207"/>
      <c r="N23" s="205">
        <v>42765</v>
      </c>
      <c r="O23" s="205">
        <v>42765</v>
      </c>
      <c r="P23" s="205">
        <v>42766</v>
      </c>
      <c r="Q23" s="205" t="s">
        <v>238</v>
      </c>
      <c r="R23" s="207">
        <v>42771</v>
      </c>
      <c r="S23" s="207">
        <v>42778</v>
      </c>
      <c r="T23" s="218">
        <f>S23+14</f>
        <v>42792</v>
      </c>
      <c r="U23" s="218">
        <f>T23+14</f>
        <v>42806</v>
      </c>
      <c r="V23" s="218"/>
      <c r="W23" s="219"/>
      <c r="X23" s="216"/>
      <c r="Y23" s="114"/>
      <c r="Z23" s="114"/>
      <c r="AA23" s="114"/>
      <c r="AB23" s="114"/>
    </row>
    <row r="24" spans="1:28" s="233" customFormat="1" ht="22.5" customHeight="1" x14ac:dyDescent="0.25">
      <c r="A24" s="198">
        <v>26</v>
      </c>
      <c r="B24" s="217" t="s">
        <v>468</v>
      </c>
      <c r="C24" s="200">
        <v>803</v>
      </c>
      <c r="D24" s="200"/>
      <c r="E24" s="201" t="s">
        <v>497</v>
      </c>
      <c r="F24" s="200">
        <v>135</v>
      </c>
      <c r="G24" s="202" t="s">
        <v>28</v>
      </c>
      <c r="H24" s="202" t="s">
        <v>79</v>
      </c>
      <c r="I24" s="203"/>
      <c r="J24" s="204" t="s">
        <v>351</v>
      </c>
      <c r="K24" s="226" t="s">
        <v>30</v>
      </c>
      <c r="L24" s="218"/>
      <c r="M24" s="207"/>
      <c r="N24" s="205">
        <v>42757</v>
      </c>
      <c r="O24" s="205">
        <v>42757</v>
      </c>
      <c r="P24" s="205">
        <v>42759</v>
      </c>
      <c r="Q24" s="205" t="s">
        <v>239</v>
      </c>
      <c r="R24" s="207">
        <v>42759</v>
      </c>
      <c r="S24" s="207">
        <v>42766</v>
      </c>
      <c r="T24" s="218">
        <v>42804</v>
      </c>
      <c r="U24" s="218">
        <v>42817</v>
      </c>
      <c r="V24" s="218"/>
      <c r="W24" s="219"/>
      <c r="X24" s="216"/>
      <c r="Y24" s="114"/>
      <c r="Z24" s="114"/>
      <c r="AA24" s="114"/>
      <c r="AB24" s="114"/>
    </row>
    <row r="25" spans="1:28" s="233" customFormat="1" ht="22.5" customHeight="1" x14ac:dyDescent="0.25">
      <c r="A25" s="198">
        <v>27</v>
      </c>
      <c r="B25" s="217" t="s">
        <v>468</v>
      </c>
      <c r="C25" s="200" t="s">
        <v>472</v>
      </c>
      <c r="D25" s="200"/>
      <c r="E25" s="201" t="s">
        <v>498</v>
      </c>
      <c r="F25" s="200">
        <v>135</v>
      </c>
      <c r="G25" s="202" t="s">
        <v>48</v>
      </c>
      <c r="H25" s="202" t="s">
        <v>79</v>
      </c>
      <c r="I25" s="203"/>
      <c r="J25" s="204" t="s">
        <v>351</v>
      </c>
      <c r="K25" s="226" t="s">
        <v>30</v>
      </c>
      <c r="L25" s="218"/>
      <c r="M25" s="207"/>
      <c r="N25" s="205">
        <v>42757</v>
      </c>
      <c r="O25" s="205">
        <v>42757</v>
      </c>
      <c r="P25" s="205">
        <v>42759</v>
      </c>
      <c r="Q25" s="205" t="s">
        <v>240</v>
      </c>
      <c r="R25" s="207">
        <v>42759</v>
      </c>
      <c r="S25" s="207">
        <v>42764</v>
      </c>
      <c r="T25" s="218">
        <v>42791</v>
      </c>
      <c r="U25" s="218">
        <v>42806</v>
      </c>
      <c r="V25" s="218"/>
      <c r="W25" s="219"/>
      <c r="X25" s="216"/>
      <c r="Y25" s="114"/>
      <c r="Z25" s="114"/>
      <c r="AA25" s="114"/>
      <c r="AB25" s="114"/>
    </row>
    <row r="26" spans="1:28" s="233" customFormat="1" ht="18" customHeight="1" x14ac:dyDescent="0.25">
      <c r="A26" s="198">
        <v>28</v>
      </c>
      <c r="B26" s="217" t="s">
        <v>468</v>
      </c>
      <c r="C26" s="200">
        <v>812</v>
      </c>
      <c r="D26" s="200"/>
      <c r="E26" s="201" t="s">
        <v>499</v>
      </c>
      <c r="F26" s="200">
        <v>255</v>
      </c>
      <c r="G26" s="202" t="s">
        <v>28</v>
      </c>
      <c r="H26" s="202" t="s">
        <v>29</v>
      </c>
      <c r="I26" s="203"/>
      <c r="J26" s="204" t="s">
        <v>351</v>
      </c>
      <c r="K26" s="200" t="s">
        <v>30</v>
      </c>
      <c r="L26" s="218"/>
      <c r="M26" s="207"/>
      <c r="N26" s="205">
        <v>42747</v>
      </c>
      <c r="O26" s="205">
        <v>42747</v>
      </c>
      <c r="P26" s="205">
        <v>42747</v>
      </c>
      <c r="Q26" s="218" t="s">
        <v>241</v>
      </c>
      <c r="R26" s="207">
        <v>42788</v>
      </c>
      <c r="S26" s="207">
        <v>42797</v>
      </c>
      <c r="T26" s="218">
        <f>S26+45</f>
        <v>42842</v>
      </c>
      <c r="U26" s="218">
        <f>T26+13</f>
        <v>42855</v>
      </c>
      <c r="V26" s="219"/>
      <c r="W26" s="219"/>
      <c r="X26" s="216"/>
      <c r="Y26" s="114">
        <v>42761</v>
      </c>
      <c r="Z26" s="114"/>
      <c r="AA26" s="114"/>
      <c r="AB26" s="114"/>
    </row>
    <row r="27" spans="1:28" s="282" customFormat="1" ht="32.25" customHeight="1" x14ac:dyDescent="0.25">
      <c r="A27" s="198">
        <v>29</v>
      </c>
      <c r="B27" s="217" t="s">
        <v>468</v>
      </c>
      <c r="C27" s="200" t="s">
        <v>237</v>
      </c>
      <c r="D27" s="200"/>
      <c r="E27" s="201" t="s">
        <v>500</v>
      </c>
      <c r="F27" s="204">
        <v>0</v>
      </c>
      <c r="G27" s="202" t="s">
        <v>64</v>
      </c>
      <c r="H27" s="202" t="s">
        <v>44</v>
      </c>
      <c r="I27" s="203"/>
      <c r="J27" s="204" t="s">
        <v>351</v>
      </c>
      <c r="K27" s="200" t="s">
        <v>40</v>
      </c>
      <c r="L27" s="218"/>
      <c r="M27" s="207"/>
      <c r="N27" s="205">
        <v>42701</v>
      </c>
      <c r="O27" s="205">
        <v>42701</v>
      </c>
      <c r="P27" s="205">
        <v>42701</v>
      </c>
      <c r="Q27" s="205" t="s">
        <v>242</v>
      </c>
      <c r="R27" s="206">
        <v>42705</v>
      </c>
      <c r="S27" s="206">
        <v>42712</v>
      </c>
      <c r="T27" s="205">
        <v>42813</v>
      </c>
      <c r="U27" s="205">
        <f>T27+45</f>
        <v>42858</v>
      </c>
      <c r="V27" s="218"/>
      <c r="W27" s="220"/>
      <c r="X27" s="209"/>
      <c r="Y27" s="114"/>
      <c r="Z27" s="114"/>
      <c r="AA27" s="114" t="s">
        <v>243</v>
      </c>
      <c r="AB27" s="114" t="s">
        <v>61</v>
      </c>
    </row>
    <row r="28" spans="1:28" customFormat="1" ht="17.25" customHeight="1" x14ac:dyDescent="0.25">
      <c r="A28" s="198">
        <v>30</v>
      </c>
      <c r="B28" s="217" t="s">
        <v>468</v>
      </c>
      <c r="C28" s="204">
        <v>776</v>
      </c>
      <c r="D28" s="204"/>
      <c r="E28" s="201" t="s">
        <v>501</v>
      </c>
      <c r="F28" s="200">
        <v>383</v>
      </c>
      <c r="G28" s="229" t="s">
        <v>28</v>
      </c>
      <c r="H28" s="229" t="s">
        <v>44</v>
      </c>
      <c r="I28" s="203"/>
      <c r="J28" s="204" t="s">
        <v>351</v>
      </c>
      <c r="K28" s="230" t="s">
        <v>71</v>
      </c>
      <c r="L28" s="218"/>
      <c r="M28" s="207"/>
      <c r="N28" s="218">
        <v>42484</v>
      </c>
      <c r="O28" s="218">
        <v>42484</v>
      </c>
      <c r="P28" s="207">
        <v>42486</v>
      </c>
      <c r="Q28" s="204">
        <v>160000321</v>
      </c>
      <c r="R28" s="206">
        <v>42502</v>
      </c>
      <c r="S28" s="207">
        <v>42709</v>
      </c>
      <c r="T28" s="218"/>
      <c r="U28" s="218"/>
      <c r="V28" s="218"/>
      <c r="W28" s="219"/>
      <c r="X28" s="216"/>
      <c r="Y28" s="114"/>
      <c r="Z28" s="114"/>
      <c r="AA28" s="114"/>
      <c r="AB28" s="114"/>
    </row>
    <row r="29" spans="1:28" ht="18" customHeight="1" x14ac:dyDescent="0.35">
      <c r="A29" s="235"/>
      <c r="B29" s="235"/>
      <c r="C29" s="236"/>
      <c r="D29" s="237"/>
      <c r="E29" s="231" t="s">
        <v>244</v>
      </c>
      <c r="F29" s="238"/>
      <c r="G29" s="237"/>
      <c r="H29" s="237"/>
      <c r="I29" s="239"/>
      <c r="J29" s="237"/>
      <c r="K29" s="237"/>
      <c r="L29" s="240"/>
      <c r="M29" s="240"/>
      <c r="N29" s="241"/>
      <c r="O29" s="242"/>
      <c r="P29" s="243"/>
      <c r="Q29" s="243"/>
      <c r="R29" s="243"/>
      <c r="S29" s="243"/>
      <c r="T29" s="240"/>
      <c r="U29" s="240"/>
      <c r="V29" s="240"/>
      <c r="W29" s="240"/>
      <c r="X29" s="17"/>
      <c r="Y29" s="17"/>
      <c r="Z29" s="17"/>
      <c r="AA29" s="17"/>
      <c r="AB29" s="17"/>
    </row>
    <row r="30" spans="1:28" ht="18" customHeight="1" x14ac:dyDescent="0.25">
      <c r="A30" s="16">
        <v>1</v>
      </c>
      <c r="B30" s="286" t="s">
        <v>468</v>
      </c>
      <c r="C30" s="245">
        <v>84</v>
      </c>
      <c r="D30" s="245"/>
      <c r="E30" s="314" t="s">
        <v>502</v>
      </c>
      <c r="F30" s="245">
        <v>95</v>
      </c>
      <c r="G30" s="246" t="s">
        <v>48</v>
      </c>
      <c r="H30" s="246" t="s">
        <v>44</v>
      </c>
      <c r="I30" s="15"/>
      <c r="J30" s="313" t="s">
        <v>351</v>
      </c>
      <c r="K30" s="245" t="s">
        <v>49</v>
      </c>
      <c r="L30" s="287"/>
      <c r="M30" s="288"/>
      <c r="N30" s="247">
        <v>42754</v>
      </c>
      <c r="O30" s="247">
        <v>42754</v>
      </c>
      <c r="P30" s="247">
        <v>42754</v>
      </c>
      <c r="Q30" s="247" t="s">
        <v>234</v>
      </c>
      <c r="R30" s="247">
        <v>42754</v>
      </c>
      <c r="S30" s="247">
        <v>42754</v>
      </c>
      <c r="T30" s="287">
        <v>42800</v>
      </c>
      <c r="U30" s="287">
        <f>T30+13</f>
        <v>42813</v>
      </c>
      <c r="V30" s="287">
        <v>42807</v>
      </c>
      <c r="W30" s="289">
        <v>42827</v>
      </c>
      <c r="X30" s="17"/>
      <c r="Y30" s="17"/>
      <c r="Z30" s="17"/>
      <c r="AA30" s="17"/>
      <c r="AB30" s="17"/>
    </row>
    <row r="31" spans="1:28" ht="18" customHeight="1" x14ac:dyDescent="0.25">
      <c r="A31" s="16">
        <v>2</v>
      </c>
      <c r="B31" s="286" t="s">
        <v>468</v>
      </c>
      <c r="C31" s="245">
        <v>826</v>
      </c>
      <c r="D31" s="245"/>
      <c r="E31" s="314" t="s">
        <v>503</v>
      </c>
      <c r="F31" s="245">
        <v>465</v>
      </c>
      <c r="G31" s="246" t="s">
        <v>48</v>
      </c>
      <c r="H31" s="246" t="s">
        <v>79</v>
      </c>
      <c r="I31" s="15"/>
      <c r="J31" s="313" t="s">
        <v>351</v>
      </c>
      <c r="K31" s="245" t="s">
        <v>49</v>
      </c>
      <c r="L31" s="287"/>
      <c r="M31" s="288"/>
      <c r="N31" s="247">
        <v>42764</v>
      </c>
      <c r="O31" s="247">
        <v>42764</v>
      </c>
      <c r="P31" s="247">
        <v>42764</v>
      </c>
      <c r="Q31" s="247" t="s">
        <v>245</v>
      </c>
      <c r="R31" s="288">
        <v>42768</v>
      </c>
      <c r="S31" s="288">
        <v>42772</v>
      </c>
      <c r="T31" s="287">
        <v>42804</v>
      </c>
      <c r="U31" s="287">
        <f>T31+13</f>
        <v>42817</v>
      </c>
      <c r="V31" s="287">
        <v>42817</v>
      </c>
      <c r="W31" s="289"/>
      <c r="X31" s="17"/>
      <c r="Y31" s="17"/>
      <c r="Z31" s="17"/>
      <c r="AA31" s="17"/>
      <c r="AB31" s="17"/>
    </row>
    <row r="32" spans="1:28" ht="18" customHeight="1" x14ac:dyDescent="0.25">
      <c r="A32" s="244">
        <v>3</v>
      </c>
      <c r="B32" s="286" t="s">
        <v>468</v>
      </c>
      <c r="C32" s="245">
        <v>827</v>
      </c>
      <c r="D32" s="245"/>
      <c r="E32" s="314" t="s">
        <v>504</v>
      </c>
      <c r="F32" s="245">
        <v>175</v>
      </c>
      <c r="G32" s="246" t="s">
        <v>48</v>
      </c>
      <c r="H32" s="246" t="s">
        <v>79</v>
      </c>
      <c r="I32" s="15"/>
      <c r="J32" s="313" t="s">
        <v>351</v>
      </c>
      <c r="K32" s="245" t="s">
        <v>49</v>
      </c>
      <c r="L32" s="287"/>
      <c r="M32" s="288"/>
      <c r="N32" s="247">
        <v>42764</v>
      </c>
      <c r="O32" s="247">
        <v>42764</v>
      </c>
      <c r="P32" s="247">
        <v>42764</v>
      </c>
      <c r="Q32" s="247" t="s">
        <v>245</v>
      </c>
      <c r="R32" s="288">
        <v>42768</v>
      </c>
      <c r="S32" s="288">
        <v>42772</v>
      </c>
      <c r="T32" s="287">
        <v>42804</v>
      </c>
      <c r="U32" s="287">
        <f>T32+13</f>
        <v>42817</v>
      </c>
      <c r="V32" s="287">
        <v>42817</v>
      </c>
      <c r="W32" s="289"/>
      <c r="X32" s="17"/>
      <c r="Y32" s="17"/>
      <c r="Z32" s="17"/>
      <c r="AA32" s="17"/>
      <c r="AB32" s="17"/>
    </row>
    <row r="33" spans="1:28" ht="18" customHeight="1" x14ac:dyDescent="0.25">
      <c r="A33" s="244">
        <v>4</v>
      </c>
      <c r="B33" s="244" t="s">
        <v>468</v>
      </c>
      <c r="C33" s="245">
        <v>10</v>
      </c>
      <c r="D33" s="245"/>
      <c r="E33" s="314" t="s">
        <v>505</v>
      </c>
      <c r="F33" s="245">
        <v>150</v>
      </c>
      <c r="G33" s="246" t="s">
        <v>48</v>
      </c>
      <c r="H33" s="246" t="s">
        <v>44</v>
      </c>
      <c r="I33" s="15"/>
      <c r="J33" s="313" t="s">
        <v>351</v>
      </c>
      <c r="K33" s="265" t="s">
        <v>49</v>
      </c>
      <c r="L33" s="247"/>
      <c r="M33" s="248"/>
      <c r="N33" s="248"/>
      <c r="O33" s="247">
        <v>42743</v>
      </c>
      <c r="P33" s="247">
        <v>42740</v>
      </c>
      <c r="Q33" s="247" t="s">
        <v>246</v>
      </c>
      <c r="R33" s="248">
        <v>42747</v>
      </c>
      <c r="S33" s="248">
        <v>42747</v>
      </c>
      <c r="T33" s="248">
        <v>42790</v>
      </c>
      <c r="U33" s="247">
        <v>42803</v>
      </c>
      <c r="V33" s="247">
        <v>42796</v>
      </c>
      <c r="W33" s="249"/>
      <c r="X33" s="17"/>
      <c r="Y33" s="17"/>
      <c r="Z33" s="17"/>
      <c r="AA33" s="17"/>
      <c r="AB33" s="17"/>
    </row>
    <row r="34" spans="1:28" ht="18" customHeight="1" x14ac:dyDescent="0.25">
      <c r="A34" s="244">
        <v>5</v>
      </c>
      <c r="B34" s="244" t="s">
        <v>468</v>
      </c>
      <c r="C34" s="245">
        <v>93</v>
      </c>
      <c r="D34" s="245"/>
      <c r="E34" s="314" t="s">
        <v>506</v>
      </c>
      <c r="F34" s="245">
        <v>185</v>
      </c>
      <c r="G34" s="246" t="s">
        <v>64</v>
      </c>
      <c r="H34" s="246" t="s">
        <v>29</v>
      </c>
      <c r="I34" s="15"/>
      <c r="J34" s="313" t="s">
        <v>351</v>
      </c>
      <c r="K34" s="265" t="s">
        <v>49</v>
      </c>
      <c r="L34" s="247"/>
      <c r="M34" s="248"/>
      <c r="N34" s="248"/>
      <c r="O34" s="247">
        <v>42743</v>
      </c>
      <c r="P34" s="247">
        <v>42740</v>
      </c>
      <c r="Q34" s="247" t="s">
        <v>247</v>
      </c>
      <c r="R34" s="248">
        <v>42744</v>
      </c>
      <c r="S34" s="248">
        <v>42745</v>
      </c>
      <c r="T34" s="248">
        <v>42790</v>
      </c>
      <c r="U34" s="247">
        <v>42803</v>
      </c>
      <c r="V34" s="247">
        <v>42796</v>
      </c>
      <c r="W34" s="249"/>
      <c r="X34" s="17"/>
      <c r="Y34" s="17"/>
      <c r="Z34" s="17"/>
      <c r="AA34" s="17"/>
      <c r="AB34" s="17"/>
    </row>
    <row r="35" spans="1:28" ht="18" customHeight="1" x14ac:dyDescent="0.25">
      <c r="A35" s="250">
        <v>6</v>
      </c>
      <c r="B35" s="16" t="s">
        <v>468</v>
      </c>
      <c r="C35" s="265">
        <v>766</v>
      </c>
      <c r="D35" s="265"/>
      <c r="E35" s="314" t="s">
        <v>507</v>
      </c>
      <c r="F35" s="265">
        <v>295</v>
      </c>
      <c r="G35" s="14" t="s">
        <v>64</v>
      </c>
      <c r="H35" s="14" t="s">
        <v>44</v>
      </c>
      <c r="I35" s="15"/>
      <c r="J35" s="313" t="s">
        <v>351</v>
      </c>
      <c r="K35" s="265" t="s">
        <v>49</v>
      </c>
      <c r="L35" s="13"/>
      <c r="M35" s="12"/>
      <c r="N35" s="12"/>
      <c r="O35" s="13">
        <v>42701</v>
      </c>
      <c r="P35" s="13">
        <v>42701</v>
      </c>
      <c r="Q35" s="13" t="s">
        <v>242</v>
      </c>
      <c r="R35" s="12">
        <v>42705</v>
      </c>
      <c r="S35" s="12">
        <v>42710</v>
      </c>
      <c r="T35" s="13">
        <v>42784</v>
      </c>
      <c r="U35" s="13">
        <f>T35+12</f>
        <v>42796</v>
      </c>
      <c r="V35" s="13">
        <v>42793</v>
      </c>
      <c r="W35" s="11"/>
      <c r="X35" s="17"/>
      <c r="Y35" s="17"/>
      <c r="Z35" s="17"/>
      <c r="AA35" s="17"/>
      <c r="AB35" s="17"/>
    </row>
    <row r="36" spans="1:28" ht="18" customHeight="1" x14ac:dyDescent="0.25">
      <c r="A36" s="250">
        <v>7</v>
      </c>
      <c r="B36" s="16" t="s">
        <v>468</v>
      </c>
      <c r="C36" s="265">
        <v>804</v>
      </c>
      <c r="D36" s="265"/>
      <c r="E36" s="314" t="s">
        <v>508</v>
      </c>
      <c r="F36" s="265">
        <v>175</v>
      </c>
      <c r="G36" s="14" t="s">
        <v>48</v>
      </c>
      <c r="H36" s="14" t="s">
        <v>79</v>
      </c>
      <c r="I36" s="15"/>
      <c r="J36" s="313" t="s">
        <v>351</v>
      </c>
      <c r="K36" s="265" t="s">
        <v>49</v>
      </c>
      <c r="L36" s="13"/>
      <c r="M36" s="12"/>
      <c r="N36" s="12"/>
      <c r="O36" s="13">
        <v>42708</v>
      </c>
      <c r="P36" s="13">
        <v>42709</v>
      </c>
      <c r="Q36" s="13" t="s">
        <v>248</v>
      </c>
      <c r="R36" s="12">
        <v>42712</v>
      </c>
      <c r="S36" s="12">
        <v>42732</v>
      </c>
      <c r="T36" s="13">
        <v>42784</v>
      </c>
      <c r="U36" s="13">
        <f>T36+12</f>
        <v>42796</v>
      </c>
      <c r="V36" s="13">
        <v>42793</v>
      </c>
      <c r="W36" s="10"/>
      <c r="X36" s="17"/>
      <c r="Y36" s="17"/>
      <c r="Z36" s="17"/>
      <c r="AA36" s="17"/>
      <c r="AB36" s="17"/>
    </row>
    <row r="37" spans="1:28" ht="18" customHeight="1" x14ac:dyDescent="0.25">
      <c r="A37" s="250">
        <v>8</v>
      </c>
      <c r="B37" s="16" t="s">
        <v>468</v>
      </c>
      <c r="C37" s="265">
        <v>811</v>
      </c>
      <c r="D37" s="265"/>
      <c r="E37" s="314" t="s">
        <v>509</v>
      </c>
      <c r="F37" s="265">
        <v>90</v>
      </c>
      <c r="G37" s="14" t="s">
        <v>28</v>
      </c>
      <c r="H37" s="14" t="s">
        <v>29</v>
      </c>
      <c r="I37" s="15"/>
      <c r="J37" s="313" t="s">
        <v>351</v>
      </c>
      <c r="K37" s="245" t="s">
        <v>49</v>
      </c>
      <c r="L37" s="13"/>
      <c r="M37" s="12"/>
      <c r="N37" s="12"/>
      <c r="O37" s="13">
        <v>42648</v>
      </c>
      <c r="P37" s="12">
        <v>42648</v>
      </c>
      <c r="Q37" s="9">
        <v>160000775</v>
      </c>
      <c r="R37" s="12">
        <v>42660</v>
      </c>
      <c r="S37" s="12">
        <v>42696</v>
      </c>
      <c r="T37" s="13">
        <v>42782</v>
      </c>
      <c r="U37" s="13">
        <v>42791</v>
      </c>
      <c r="V37" s="13">
        <v>42789</v>
      </c>
      <c r="W37" s="11"/>
      <c r="X37" s="17"/>
      <c r="Y37" s="17"/>
      <c r="Z37" s="17"/>
      <c r="AA37" s="17"/>
      <c r="AB37" s="17"/>
    </row>
    <row r="38" spans="1:28" ht="18" customHeight="1" x14ac:dyDescent="0.25">
      <c r="A38" s="250">
        <v>9</v>
      </c>
      <c r="B38" s="244" t="s">
        <v>468</v>
      </c>
      <c r="C38" s="245">
        <v>761</v>
      </c>
      <c r="D38" s="245"/>
      <c r="E38" s="314" t="s">
        <v>510</v>
      </c>
      <c r="F38" s="245">
        <v>135</v>
      </c>
      <c r="G38" s="246" t="s">
        <v>64</v>
      </c>
      <c r="H38" s="246" t="s">
        <v>29</v>
      </c>
      <c r="I38" s="15"/>
      <c r="J38" s="313" t="s">
        <v>351</v>
      </c>
      <c r="K38" s="245" t="s">
        <v>49</v>
      </c>
      <c r="L38" s="247"/>
      <c r="M38" s="248"/>
      <c r="N38" s="248"/>
      <c r="O38" s="247">
        <v>42563</v>
      </c>
      <c r="P38" s="248">
        <v>42572</v>
      </c>
      <c r="Q38" s="245">
        <v>160000569</v>
      </c>
      <c r="R38" s="248">
        <v>42614</v>
      </c>
      <c r="S38" s="248">
        <v>42621</v>
      </c>
      <c r="T38" s="247">
        <v>42729</v>
      </c>
      <c r="U38" s="247">
        <v>42780</v>
      </c>
      <c r="V38" s="247">
        <v>42782</v>
      </c>
      <c r="W38" s="249"/>
      <c r="X38" s="17"/>
      <c r="Y38" s="17"/>
      <c r="Z38" s="17"/>
      <c r="AA38" s="17"/>
      <c r="AB38" s="17"/>
    </row>
    <row r="39" spans="1:28" ht="18" customHeight="1" x14ac:dyDescent="0.25">
      <c r="A39" s="250">
        <v>10</v>
      </c>
      <c r="B39" s="244" t="s">
        <v>468</v>
      </c>
      <c r="C39" s="245">
        <v>70</v>
      </c>
      <c r="D39" s="245"/>
      <c r="E39" s="314" t="s">
        <v>511</v>
      </c>
      <c r="F39" s="245">
        <v>150</v>
      </c>
      <c r="G39" s="246" t="s">
        <v>28</v>
      </c>
      <c r="H39" s="246" t="s">
        <v>44</v>
      </c>
      <c r="I39" s="15"/>
      <c r="J39" s="313" t="s">
        <v>351</v>
      </c>
      <c r="K39" s="245" t="s">
        <v>49</v>
      </c>
      <c r="L39" s="247"/>
      <c r="M39" s="248"/>
      <c r="N39" s="248"/>
      <c r="O39" s="247">
        <v>42683</v>
      </c>
      <c r="P39" s="247">
        <v>42684</v>
      </c>
      <c r="Q39" s="245">
        <v>160000935</v>
      </c>
      <c r="R39" s="248">
        <v>42690</v>
      </c>
      <c r="S39" s="248">
        <v>42692</v>
      </c>
      <c r="T39" s="247">
        <v>42757</v>
      </c>
      <c r="U39" s="247">
        <v>42792</v>
      </c>
      <c r="V39" s="247">
        <v>42774</v>
      </c>
      <c r="W39" s="249"/>
      <c r="X39" s="17"/>
      <c r="Y39" s="17"/>
      <c r="Z39" s="17"/>
      <c r="AA39" s="17"/>
      <c r="AB39" s="17"/>
    </row>
    <row r="40" spans="1:28" ht="18" customHeight="1" x14ac:dyDescent="0.25">
      <c r="A40" s="250">
        <v>11</v>
      </c>
      <c r="B40" s="244" t="s">
        <v>468</v>
      </c>
      <c r="C40" s="245">
        <v>825</v>
      </c>
      <c r="D40" s="245"/>
      <c r="E40" s="314" t="s">
        <v>512</v>
      </c>
      <c r="F40" s="245">
        <v>400</v>
      </c>
      <c r="G40" s="246" t="s">
        <v>48</v>
      </c>
      <c r="H40" s="246" t="s">
        <v>44</v>
      </c>
      <c r="I40" s="15"/>
      <c r="J40" s="313" t="s">
        <v>351</v>
      </c>
      <c r="K40" s="245" t="s">
        <v>49</v>
      </c>
      <c r="L40" s="247"/>
      <c r="M40" s="248"/>
      <c r="N40" s="248"/>
      <c r="O40" s="247">
        <v>42733</v>
      </c>
      <c r="P40" s="247">
        <v>42736</v>
      </c>
      <c r="Q40" s="247" t="s">
        <v>249</v>
      </c>
      <c r="R40" s="248">
        <v>42737</v>
      </c>
      <c r="S40" s="248">
        <v>42740</v>
      </c>
      <c r="T40" s="247">
        <v>42764</v>
      </c>
      <c r="U40" s="247">
        <v>42775</v>
      </c>
      <c r="V40" s="247">
        <v>42774</v>
      </c>
      <c r="W40" s="249">
        <v>42817</v>
      </c>
      <c r="X40" s="17"/>
      <c r="Y40" s="17"/>
      <c r="Z40" s="17"/>
      <c r="AA40" s="17"/>
      <c r="AB40" s="17"/>
    </row>
    <row r="41" spans="1:28" ht="18" customHeight="1" x14ac:dyDescent="0.25">
      <c r="A41" s="250">
        <v>12</v>
      </c>
      <c r="B41" s="244" t="s">
        <v>468</v>
      </c>
      <c r="C41" s="245">
        <v>824</v>
      </c>
      <c r="D41" s="245"/>
      <c r="E41" s="314" t="s">
        <v>513</v>
      </c>
      <c r="F41" s="245">
        <v>135</v>
      </c>
      <c r="G41" s="246" t="s">
        <v>48</v>
      </c>
      <c r="H41" s="246" t="s">
        <v>44</v>
      </c>
      <c r="I41" s="15"/>
      <c r="J41" s="313" t="s">
        <v>351</v>
      </c>
      <c r="K41" s="245" t="s">
        <v>49</v>
      </c>
      <c r="L41" s="247"/>
      <c r="M41" s="248"/>
      <c r="N41" s="248"/>
      <c r="O41" s="247">
        <v>42733</v>
      </c>
      <c r="P41" s="247">
        <v>42736</v>
      </c>
      <c r="Q41" s="247" t="s">
        <v>249</v>
      </c>
      <c r="R41" s="248">
        <v>42737</v>
      </c>
      <c r="S41" s="248">
        <v>42737</v>
      </c>
      <c r="T41" s="247">
        <v>42764</v>
      </c>
      <c r="U41" s="247">
        <v>42775</v>
      </c>
      <c r="V41" s="247">
        <v>42774</v>
      </c>
      <c r="W41" s="249">
        <v>42787</v>
      </c>
      <c r="X41" s="17"/>
      <c r="Y41" s="17"/>
      <c r="Z41" s="17"/>
      <c r="AA41" s="17"/>
      <c r="AB41" s="17"/>
    </row>
    <row r="42" spans="1:28" ht="18" customHeight="1" x14ac:dyDescent="0.25">
      <c r="A42" s="244">
        <v>13</v>
      </c>
      <c r="B42" s="244" t="s">
        <v>468</v>
      </c>
      <c r="C42" s="245">
        <v>791</v>
      </c>
      <c r="D42" s="245"/>
      <c r="E42" s="314" t="s">
        <v>514</v>
      </c>
      <c r="F42" s="245">
        <v>263</v>
      </c>
      <c r="G42" s="246" t="s">
        <v>28</v>
      </c>
      <c r="H42" s="246" t="s">
        <v>44</v>
      </c>
      <c r="I42" s="15"/>
      <c r="J42" s="313" t="s">
        <v>351</v>
      </c>
      <c r="K42" s="245" t="s">
        <v>49</v>
      </c>
      <c r="L42" s="247"/>
      <c r="M42" s="248"/>
      <c r="N42" s="248"/>
      <c r="O42" s="247">
        <v>42648</v>
      </c>
      <c r="P42" s="248">
        <v>42648</v>
      </c>
      <c r="Q42" s="245">
        <v>160000769</v>
      </c>
      <c r="R42" s="248">
        <v>42660</v>
      </c>
      <c r="S42" s="248">
        <v>42671</v>
      </c>
      <c r="T42" s="247">
        <v>42398</v>
      </c>
      <c r="U42" s="247">
        <v>42780</v>
      </c>
      <c r="V42" s="247">
        <v>42780</v>
      </c>
      <c r="W42" s="249"/>
      <c r="X42" s="17"/>
      <c r="Y42" s="17"/>
      <c r="Z42" s="17"/>
      <c r="AA42" s="17"/>
      <c r="AB42" s="17"/>
    </row>
    <row r="43" spans="1:28" ht="18" customHeight="1" x14ac:dyDescent="0.25">
      <c r="A43" s="244">
        <v>14</v>
      </c>
      <c r="B43" s="244" t="s">
        <v>468</v>
      </c>
      <c r="C43" s="245" t="s">
        <v>473</v>
      </c>
      <c r="D43" s="245"/>
      <c r="E43" s="314" t="s">
        <v>515</v>
      </c>
      <c r="F43" s="245">
        <v>135</v>
      </c>
      <c r="G43" s="246" t="s">
        <v>64</v>
      </c>
      <c r="H43" s="246" t="s">
        <v>44</v>
      </c>
      <c r="I43" s="15"/>
      <c r="J43" s="313" t="s">
        <v>351</v>
      </c>
      <c r="K43" s="245" t="s">
        <v>49</v>
      </c>
      <c r="L43" s="247"/>
      <c r="M43" s="248"/>
      <c r="N43" s="248"/>
      <c r="O43" s="247">
        <v>42701</v>
      </c>
      <c r="P43" s="247">
        <v>42701</v>
      </c>
      <c r="Q43" s="247" t="s">
        <v>242</v>
      </c>
      <c r="R43" s="248">
        <v>42705</v>
      </c>
      <c r="S43" s="248">
        <v>42710</v>
      </c>
      <c r="T43" s="247">
        <v>42762</v>
      </c>
      <c r="U43" s="247">
        <v>42778</v>
      </c>
      <c r="V43" s="247">
        <v>42778</v>
      </c>
      <c r="W43" s="251"/>
      <c r="X43" s="17"/>
      <c r="Y43" s="17"/>
      <c r="Z43" s="17"/>
      <c r="AA43" s="17"/>
      <c r="AB43" s="17"/>
    </row>
    <row r="44" spans="1:28" ht="18" customHeight="1" x14ac:dyDescent="0.25">
      <c r="A44" s="244">
        <v>15</v>
      </c>
      <c r="B44" s="244" t="s">
        <v>468</v>
      </c>
      <c r="C44" s="245">
        <v>822</v>
      </c>
      <c r="D44" s="245"/>
      <c r="E44" s="314" t="s">
        <v>516</v>
      </c>
      <c r="F44" s="245">
        <v>245</v>
      </c>
      <c r="G44" s="246" t="s">
        <v>48</v>
      </c>
      <c r="H44" s="246" t="s">
        <v>44</v>
      </c>
      <c r="I44" s="15"/>
      <c r="J44" s="313" t="s">
        <v>351</v>
      </c>
      <c r="K44" s="245" t="s">
        <v>49</v>
      </c>
      <c r="L44" s="247"/>
      <c r="M44" s="248"/>
      <c r="N44" s="248"/>
      <c r="O44" s="247">
        <v>42712</v>
      </c>
      <c r="P44" s="247">
        <v>42717</v>
      </c>
      <c r="Q44" s="247" t="s">
        <v>250</v>
      </c>
      <c r="R44" s="248">
        <v>42718</v>
      </c>
      <c r="S44" s="248">
        <v>42726</v>
      </c>
      <c r="T44" s="247">
        <v>42756</v>
      </c>
      <c r="U44" s="247">
        <v>42771</v>
      </c>
      <c r="V44" s="247">
        <v>42767</v>
      </c>
      <c r="W44" s="247">
        <v>42773</v>
      </c>
      <c r="X44" s="17"/>
      <c r="Y44" s="17"/>
      <c r="Z44" s="17"/>
      <c r="AA44" s="17"/>
      <c r="AB44" s="17"/>
    </row>
    <row r="45" spans="1:28" ht="18" customHeight="1" x14ac:dyDescent="0.25">
      <c r="A45" s="244">
        <v>16</v>
      </c>
      <c r="B45" s="244" t="s">
        <v>468</v>
      </c>
      <c r="C45" s="245">
        <v>810</v>
      </c>
      <c r="D45" s="245"/>
      <c r="E45" s="314" t="s">
        <v>517</v>
      </c>
      <c r="F45" s="245">
        <v>152</v>
      </c>
      <c r="G45" s="246" t="s">
        <v>48</v>
      </c>
      <c r="H45" s="246" t="s">
        <v>44</v>
      </c>
      <c r="I45" s="15"/>
      <c r="J45" s="313" t="s">
        <v>351</v>
      </c>
      <c r="K45" s="245" t="s">
        <v>49</v>
      </c>
      <c r="L45" s="247"/>
      <c r="M45" s="248"/>
      <c r="N45" s="248"/>
      <c r="O45" s="247">
        <v>42704</v>
      </c>
      <c r="P45" s="247">
        <v>42705</v>
      </c>
      <c r="Q45" s="247" t="s">
        <v>251</v>
      </c>
      <c r="R45" s="248">
        <v>42712</v>
      </c>
      <c r="S45" s="248">
        <v>42726</v>
      </c>
      <c r="T45" s="247">
        <v>42756</v>
      </c>
      <c r="U45" s="247">
        <v>42771</v>
      </c>
      <c r="V45" s="247">
        <v>42767</v>
      </c>
      <c r="W45" s="247"/>
      <c r="X45" s="17"/>
      <c r="Y45" s="17"/>
      <c r="Z45" s="17"/>
      <c r="AA45" s="17"/>
      <c r="AB45" s="17"/>
    </row>
    <row r="46" spans="1:28" ht="18" customHeight="1" x14ac:dyDescent="0.25">
      <c r="A46" s="244">
        <v>17</v>
      </c>
      <c r="B46" s="244" t="s">
        <v>468</v>
      </c>
      <c r="C46" s="245">
        <v>801</v>
      </c>
      <c r="D46" s="245"/>
      <c r="E46" s="314" t="s">
        <v>518</v>
      </c>
      <c r="F46" s="245">
        <v>165</v>
      </c>
      <c r="G46" s="246" t="s">
        <v>48</v>
      </c>
      <c r="H46" s="246" t="s">
        <v>44</v>
      </c>
      <c r="I46" s="15"/>
      <c r="J46" s="313" t="s">
        <v>351</v>
      </c>
      <c r="K46" s="245" t="s">
        <v>49</v>
      </c>
      <c r="L46" s="247"/>
      <c r="M46" s="248"/>
      <c r="N46" s="248"/>
      <c r="O46" s="247">
        <v>42704</v>
      </c>
      <c r="P46" s="247">
        <v>42705</v>
      </c>
      <c r="Q46" s="247" t="s">
        <v>251</v>
      </c>
      <c r="R46" s="248">
        <v>42712</v>
      </c>
      <c r="S46" s="248">
        <v>42722</v>
      </c>
      <c r="T46" s="247">
        <v>42756</v>
      </c>
      <c r="U46" s="247">
        <v>42771</v>
      </c>
      <c r="V46" s="247">
        <v>42767</v>
      </c>
      <c r="W46" s="247"/>
      <c r="X46" s="17"/>
      <c r="Y46" s="17"/>
      <c r="Z46" s="17"/>
      <c r="AA46" s="17"/>
      <c r="AB46" s="17"/>
    </row>
    <row r="47" spans="1:28" ht="18" customHeight="1" x14ac:dyDescent="0.25">
      <c r="A47" s="244">
        <v>18</v>
      </c>
      <c r="B47" s="244" t="s">
        <v>468</v>
      </c>
      <c r="C47" s="245">
        <v>790</v>
      </c>
      <c r="D47" s="245"/>
      <c r="E47" s="314" t="s">
        <v>519</v>
      </c>
      <c r="F47" s="245">
        <v>176</v>
      </c>
      <c r="G47" s="246" t="s">
        <v>28</v>
      </c>
      <c r="H47" s="246" t="s">
        <v>29</v>
      </c>
      <c r="I47" s="15"/>
      <c r="J47" s="313" t="s">
        <v>351</v>
      </c>
      <c r="K47" s="245" t="s">
        <v>49</v>
      </c>
      <c r="L47" s="247"/>
      <c r="M47" s="248"/>
      <c r="N47" s="248"/>
      <c r="O47" s="247">
        <v>42648</v>
      </c>
      <c r="P47" s="248">
        <v>42648</v>
      </c>
      <c r="Q47" s="245">
        <v>160000770</v>
      </c>
      <c r="R47" s="248">
        <v>42660</v>
      </c>
      <c r="S47" s="248">
        <v>42665</v>
      </c>
      <c r="T47" s="247">
        <v>42748</v>
      </c>
      <c r="U47" s="247">
        <v>42766</v>
      </c>
      <c r="V47" s="247">
        <v>42767</v>
      </c>
      <c r="W47" s="247"/>
      <c r="X47" s="17"/>
      <c r="Y47" s="17"/>
      <c r="Z47" s="17"/>
      <c r="AA47" s="17"/>
      <c r="AB47" s="17"/>
    </row>
    <row r="48" spans="1:28" ht="18" customHeight="1" x14ac:dyDescent="0.25">
      <c r="A48" s="244">
        <v>19</v>
      </c>
      <c r="B48" s="244" t="s">
        <v>468</v>
      </c>
      <c r="C48" s="245">
        <v>808</v>
      </c>
      <c r="D48" s="245"/>
      <c r="E48" s="314" t="s">
        <v>520</v>
      </c>
      <c r="F48" s="245">
        <v>105</v>
      </c>
      <c r="G48" s="246" t="s">
        <v>64</v>
      </c>
      <c r="H48" s="246" t="s">
        <v>29</v>
      </c>
      <c r="I48" s="15"/>
      <c r="J48" s="313" t="s">
        <v>351</v>
      </c>
      <c r="K48" s="245" t="s">
        <v>49</v>
      </c>
      <c r="L48" s="247"/>
      <c r="M48" s="248"/>
      <c r="N48" s="248"/>
      <c r="O48" s="247">
        <v>42670</v>
      </c>
      <c r="P48" s="247">
        <v>42670</v>
      </c>
      <c r="Q48" s="245">
        <v>160000860</v>
      </c>
      <c r="R48" s="247">
        <v>42676</v>
      </c>
      <c r="S48" s="248">
        <v>42680</v>
      </c>
      <c r="T48" s="247">
        <v>42739</v>
      </c>
      <c r="U48" s="247">
        <v>42752</v>
      </c>
      <c r="V48" s="247">
        <v>42752</v>
      </c>
      <c r="W48" s="247"/>
      <c r="X48" s="17"/>
      <c r="Y48" s="17"/>
      <c r="Z48" s="17"/>
      <c r="AA48" s="17"/>
      <c r="AB48" s="17"/>
    </row>
    <row r="49" spans="1:28" ht="18" customHeight="1" x14ac:dyDescent="0.25">
      <c r="A49" s="244">
        <v>20</v>
      </c>
      <c r="B49" s="244" t="s">
        <v>468</v>
      </c>
      <c r="C49" s="245">
        <v>7</v>
      </c>
      <c r="D49" s="245"/>
      <c r="E49" s="314" t="s">
        <v>521</v>
      </c>
      <c r="F49" s="245">
        <v>392</v>
      </c>
      <c r="G49" s="252" t="s">
        <v>64</v>
      </c>
      <c r="H49" s="252" t="s">
        <v>29</v>
      </c>
      <c r="I49" s="15"/>
      <c r="J49" s="313" t="s">
        <v>351</v>
      </c>
      <c r="K49" s="253" t="s">
        <v>49</v>
      </c>
      <c r="L49" s="254"/>
      <c r="M49" s="255"/>
      <c r="N49" s="255"/>
      <c r="O49" s="247">
        <v>42605</v>
      </c>
      <c r="P49" s="248">
        <v>42621</v>
      </c>
      <c r="Q49" s="245">
        <v>160000662</v>
      </c>
      <c r="R49" s="248">
        <v>42633</v>
      </c>
      <c r="S49" s="248">
        <v>42658</v>
      </c>
      <c r="T49" s="247">
        <v>42726</v>
      </c>
      <c r="U49" s="247">
        <v>42752</v>
      </c>
      <c r="V49" s="247">
        <v>42751</v>
      </c>
      <c r="W49" s="247"/>
      <c r="X49" s="17"/>
      <c r="Y49" s="17"/>
      <c r="Z49" s="17"/>
      <c r="AA49" s="17"/>
      <c r="AB49" s="17"/>
    </row>
    <row r="50" spans="1:28" ht="18" customHeight="1" x14ac:dyDescent="0.25">
      <c r="A50" s="244">
        <v>21</v>
      </c>
      <c r="B50" s="256" t="s">
        <v>468</v>
      </c>
      <c r="C50" s="245">
        <v>46</v>
      </c>
      <c r="D50" s="245"/>
      <c r="E50" s="314" t="s">
        <v>522</v>
      </c>
      <c r="F50" s="245">
        <v>330</v>
      </c>
      <c r="G50" s="252" t="s">
        <v>64</v>
      </c>
      <c r="H50" s="252" t="s">
        <v>29</v>
      </c>
      <c r="I50" s="15"/>
      <c r="J50" s="313" t="s">
        <v>351</v>
      </c>
      <c r="K50" s="253" t="s">
        <v>49</v>
      </c>
      <c r="L50" s="254"/>
      <c r="M50" s="255"/>
      <c r="N50" s="255"/>
      <c r="O50" s="247">
        <v>42605</v>
      </c>
      <c r="P50" s="248">
        <v>42621</v>
      </c>
      <c r="Q50" s="245">
        <v>160000661</v>
      </c>
      <c r="R50" s="248">
        <v>42633</v>
      </c>
      <c r="S50" s="248">
        <v>42652</v>
      </c>
      <c r="T50" s="247">
        <v>42726</v>
      </c>
      <c r="U50" s="247">
        <v>42752</v>
      </c>
      <c r="V50" s="247">
        <v>42751</v>
      </c>
      <c r="W50" s="247"/>
      <c r="X50" s="17"/>
      <c r="Y50" s="17"/>
      <c r="Z50" s="17"/>
      <c r="AA50" s="17"/>
      <c r="AB50" s="17"/>
    </row>
    <row r="51" spans="1:28" ht="18" customHeight="1" x14ac:dyDescent="0.25">
      <c r="A51" s="244">
        <v>22</v>
      </c>
      <c r="B51" s="244" t="s">
        <v>468</v>
      </c>
      <c r="C51" s="245">
        <v>816</v>
      </c>
      <c r="D51" s="245"/>
      <c r="E51" s="314" t="s">
        <v>523</v>
      </c>
      <c r="F51" s="245">
        <v>180</v>
      </c>
      <c r="G51" s="246" t="s">
        <v>48</v>
      </c>
      <c r="H51" s="246" t="s">
        <v>44</v>
      </c>
      <c r="I51" s="15"/>
      <c r="J51" s="313" t="s">
        <v>351</v>
      </c>
      <c r="K51" s="245" t="s">
        <v>49</v>
      </c>
      <c r="L51" s="247"/>
      <c r="M51" s="248"/>
      <c r="N51" s="248"/>
      <c r="O51" s="247">
        <v>42670</v>
      </c>
      <c r="P51" s="247">
        <v>42670</v>
      </c>
      <c r="Q51" s="245">
        <v>160000864</v>
      </c>
      <c r="R51" s="247">
        <v>42676</v>
      </c>
      <c r="S51" s="248">
        <v>42684</v>
      </c>
      <c r="T51" s="247">
        <v>42734</v>
      </c>
      <c r="U51" s="247">
        <v>42752</v>
      </c>
      <c r="V51" s="248">
        <v>42752</v>
      </c>
      <c r="W51" s="247">
        <v>42757</v>
      </c>
      <c r="X51" s="17"/>
      <c r="Y51" s="17"/>
      <c r="Z51" s="17"/>
      <c r="AA51" s="17"/>
      <c r="AB51" s="17"/>
    </row>
    <row r="52" spans="1:28" ht="18" customHeight="1" x14ac:dyDescent="0.25">
      <c r="A52" s="244">
        <v>23</v>
      </c>
      <c r="B52" s="244" t="s">
        <v>468</v>
      </c>
      <c r="C52" s="245">
        <v>817</v>
      </c>
      <c r="D52" s="245"/>
      <c r="E52" s="314" t="s">
        <v>524</v>
      </c>
      <c r="F52" s="245">
        <v>126</v>
      </c>
      <c r="G52" s="246" t="s">
        <v>48</v>
      </c>
      <c r="H52" s="246" t="s">
        <v>44</v>
      </c>
      <c r="I52" s="15"/>
      <c r="J52" s="313" t="s">
        <v>351</v>
      </c>
      <c r="K52" s="245" t="s">
        <v>49</v>
      </c>
      <c r="L52" s="247"/>
      <c r="M52" s="248"/>
      <c r="N52" s="248">
        <v>42674</v>
      </c>
      <c r="O52" s="247">
        <v>42676</v>
      </c>
      <c r="P52" s="247">
        <v>42677</v>
      </c>
      <c r="Q52" s="245">
        <v>160000875</v>
      </c>
      <c r="R52" s="248">
        <v>42681</v>
      </c>
      <c r="S52" s="248">
        <v>42687</v>
      </c>
      <c r="T52" s="247">
        <v>42734</v>
      </c>
      <c r="U52" s="247">
        <v>42752</v>
      </c>
      <c r="V52" s="248">
        <v>42752</v>
      </c>
      <c r="W52" s="247">
        <v>42757</v>
      </c>
      <c r="X52" s="17"/>
      <c r="Y52" s="17"/>
      <c r="Z52" s="17"/>
      <c r="AA52" s="17"/>
      <c r="AB52" s="17"/>
    </row>
    <row r="53" spans="1:28" ht="18" customHeight="1" x14ac:dyDescent="0.25">
      <c r="A53" s="244">
        <v>24</v>
      </c>
      <c r="B53" s="244" t="s">
        <v>468</v>
      </c>
      <c r="C53" s="245">
        <v>821</v>
      </c>
      <c r="D53" s="245"/>
      <c r="E53" s="314" t="s">
        <v>525</v>
      </c>
      <c r="F53" s="245">
        <v>235</v>
      </c>
      <c r="G53" s="246" t="s">
        <v>48</v>
      </c>
      <c r="H53" s="246" t="s">
        <v>44</v>
      </c>
      <c r="I53" s="15"/>
      <c r="J53" s="313" t="s">
        <v>351</v>
      </c>
      <c r="K53" s="245" t="s">
        <v>49</v>
      </c>
      <c r="L53" s="247"/>
      <c r="M53" s="248"/>
      <c r="N53" s="248"/>
      <c r="O53" s="247">
        <v>42683</v>
      </c>
      <c r="P53" s="247">
        <v>42683</v>
      </c>
      <c r="Q53" s="245">
        <v>160000921</v>
      </c>
      <c r="R53" s="248">
        <v>42688</v>
      </c>
      <c r="S53" s="248">
        <v>42691</v>
      </c>
      <c r="T53" s="247">
        <v>42734</v>
      </c>
      <c r="U53" s="247">
        <v>42752</v>
      </c>
      <c r="V53" s="248">
        <v>42752</v>
      </c>
      <c r="W53" s="247">
        <v>42757</v>
      </c>
      <c r="X53" s="17"/>
      <c r="Y53" s="17"/>
      <c r="Z53" s="17"/>
      <c r="AA53" s="17"/>
      <c r="AB53" s="17"/>
    </row>
    <row r="54" spans="1:28" ht="18" customHeight="1" x14ac:dyDescent="0.25">
      <c r="A54" s="16">
        <v>25</v>
      </c>
      <c r="B54" s="244" t="s">
        <v>468</v>
      </c>
      <c r="C54" s="245" t="s">
        <v>252</v>
      </c>
      <c r="D54" s="245"/>
      <c r="E54" s="314" t="s">
        <v>526</v>
      </c>
      <c r="F54" s="245">
        <v>140</v>
      </c>
      <c r="G54" s="246" t="s">
        <v>64</v>
      </c>
      <c r="H54" s="246" t="s">
        <v>44</v>
      </c>
      <c r="I54" s="15"/>
      <c r="J54" s="313" t="s">
        <v>351</v>
      </c>
      <c r="K54" s="245" t="s">
        <v>49</v>
      </c>
      <c r="L54" s="247"/>
      <c r="M54" s="247"/>
      <c r="N54" s="247"/>
      <c r="O54" s="247">
        <v>42670</v>
      </c>
      <c r="P54" s="247">
        <v>42670</v>
      </c>
      <c r="Q54" s="245">
        <v>160000863</v>
      </c>
      <c r="R54" s="247">
        <v>42676</v>
      </c>
      <c r="S54" s="248">
        <v>42677</v>
      </c>
      <c r="T54" s="247">
        <v>42739</v>
      </c>
      <c r="U54" s="247">
        <v>42752</v>
      </c>
      <c r="V54" s="248">
        <v>42752</v>
      </c>
      <c r="W54" s="247"/>
      <c r="X54" s="17"/>
      <c r="Y54" s="17"/>
      <c r="Z54" s="17"/>
      <c r="AA54" s="17"/>
      <c r="AB54" s="17"/>
    </row>
    <row r="55" spans="1:28" ht="18" customHeight="1" x14ac:dyDescent="0.25">
      <c r="A55" s="16">
        <v>26</v>
      </c>
      <c r="B55" s="244" t="s">
        <v>468</v>
      </c>
      <c r="C55" s="245">
        <v>788</v>
      </c>
      <c r="D55" s="245"/>
      <c r="E55" s="314" t="s">
        <v>527</v>
      </c>
      <c r="F55" s="245">
        <v>115</v>
      </c>
      <c r="G55" s="246" t="s">
        <v>28</v>
      </c>
      <c r="H55" s="246" t="s">
        <v>29</v>
      </c>
      <c r="I55" s="15"/>
      <c r="J55" s="313" t="s">
        <v>351</v>
      </c>
      <c r="K55" s="245" t="s">
        <v>49</v>
      </c>
      <c r="L55" s="247"/>
      <c r="M55" s="248"/>
      <c r="N55" s="248"/>
      <c r="O55" s="247">
        <v>42648</v>
      </c>
      <c r="P55" s="248">
        <v>42648</v>
      </c>
      <c r="Q55" s="245">
        <v>160000771</v>
      </c>
      <c r="R55" s="248">
        <v>42660</v>
      </c>
      <c r="S55" s="248">
        <v>42664</v>
      </c>
      <c r="T55" s="247">
        <v>42731</v>
      </c>
      <c r="U55" s="247">
        <v>42752</v>
      </c>
      <c r="V55" s="248">
        <v>42752</v>
      </c>
      <c r="W55" s="248"/>
      <c r="X55" s="17"/>
      <c r="Y55" s="17"/>
      <c r="Z55" s="17"/>
      <c r="AA55" s="17"/>
      <c r="AB55" s="17"/>
    </row>
    <row r="56" spans="1:28" ht="18" customHeight="1" x14ac:dyDescent="0.25">
      <c r="A56" s="16">
        <v>27</v>
      </c>
      <c r="B56" s="244" t="s">
        <v>468</v>
      </c>
      <c r="C56" s="245">
        <v>765</v>
      </c>
      <c r="D56" s="245"/>
      <c r="E56" s="314" t="s">
        <v>528</v>
      </c>
      <c r="F56" s="245">
        <v>250</v>
      </c>
      <c r="G56" s="246" t="s">
        <v>28</v>
      </c>
      <c r="H56" s="246" t="s">
        <v>29</v>
      </c>
      <c r="I56" s="257"/>
      <c r="J56" s="313" t="s">
        <v>351</v>
      </c>
      <c r="K56" s="253" t="s">
        <v>49</v>
      </c>
      <c r="L56" s="247">
        <v>42348</v>
      </c>
      <c r="M56" s="248">
        <v>42349</v>
      </c>
      <c r="N56" s="248">
        <v>42482</v>
      </c>
      <c r="O56" s="247">
        <v>42484</v>
      </c>
      <c r="P56" s="248">
        <v>42486</v>
      </c>
      <c r="Q56" s="245">
        <v>160000325</v>
      </c>
      <c r="R56" s="248">
        <v>42506</v>
      </c>
      <c r="S56" s="248">
        <v>42516</v>
      </c>
      <c r="T56" s="247">
        <v>42722</v>
      </c>
      <c r="U56" s="248">
        <v>42745</v>
      </c>
      <c r="V56" s="248">
        <v>42745</v>
      </c>
      <c r="W56" s="207"/>
      <c r="X56" s="17"/>
      <c r="Y56" s="17"/>
      <c r="Z56" s="17"/>
      <c r="AA56" s="17"/>
      <c r="AB56" s="17"/>
    </row>
    <row r="57" spans="1:28" ht="18" customHeight="1" x14ac:dyDescent="0.25">
      <c r="A57" s="16">
        <v>28</v>
      </c>
      <c r="B57" s="244" t="s">
        <v>468</v>
      </c>
      <c r="C57" s="245">
        <v>820</v>
      </c>
      <c r="D57" s="245"/>
      <c r="E57" s="314" t="s">
        <v>529</v>
      </c>
      <c r="F57" s="245">
        <v>225</v>
      </c>
      <c r="G57" s="246" t="s">
        <v>48</v>
      </c>
      <c r="H57" s="246" t="s">
        <v>44</v>
      </c>
      <c r="I57" s="257"/>
      <c r="J57" s="313" t="s">
        <v>351</v>
      </c>
      <c r="K57" s="253" t="s">
        <v>49</v>
      </c>
      <c r="L57" s="218"/>
      <c r="M57" s="218"/>
      <c r="N57" s="247">
        <v>42680</v>
      </c>
      <c r="O57" s="247">
        <v>42680</v>
      </c>
      <c r="P57" s="247">
        <v>42681</v>
      </c>
      <c r="Q57" s="245">
        <v>160000907</v>
      </c>
      <c r="R57" s="247">
        <v>42684</v>
      </c>
      <c r="S57" s="247">
        <v>42691</v>
      </c>
      <c r="T57" s="247">
        <v>42733</v>
      </c>
      <c r="U57" s="247">
        <v>42745</v>
      </c>
      <c r="V57" s="247">
        <v>42743</v>
      </c>
      <c r="W57" s="247">
        <v>42757</v>
      </c>
      <c r="X57" s="17"/>
      <c r="Y57" s="17"/>
      <c r="Z57" s="17"/>
      <c r="AA57" s="17"/>
      <c r="AB57" s="17"/>
    </row>
    <row r="58" spans="1:28" ht="18" customHeight="1" x14ac:dyDescent="0.25">
      <c r="A58" s="16">
        <v>29</v>
      </c>
      <c r="B58" s="244" t="s">
        <v>468</v>
      </c>
      <c r="C58" s="245" t="s">
        <v>474</v>
      </c>
      <c r="D58" s="245"/>
      <c r="E58" s="314" t="s">
        <v>530</v>
      </c>
      <c r="F58" s="245" t="s">
        <v>116</v>
      </c>
      <c r="G58" s="252" t="s">
        <v>64</v>
      </c>
      <c r="H58" s="252" t="s">
        <v>29</v>
      </c>
      <c r="I58" s="257"/>
      <c r="J58" s="313" t="s">
        <v>351</v>
      </c>
      <c r="K58" s="253" t="s">
        <v>49</v>
      </c>
      <c r="L58" s="232"/>
      <c r="M58" s="258"/>
      <c r="N58" s="258"/>
      <c r="O58" s="247">
        <v>42613</v>
      </c>
      <c r="P58" s="248">
        <v>42617</v>
      </c>
      <c r="Q58" s="245">
        <v>160000644</v>
      </c>
      <c r="R58" s="248">
        <v>42638</v>
      </c>
      <c r="S58" s="248">
        <v>42641</v>
      </c>
      <c r="T58" s="247">
        <v>42722</v>
      </c>
      <c r="U58" s="247">
        <v>42731</v>
      </c>
      <c r="V58" s="247">
        <v>42737</v>
      </c>
      <c r="W58" s="218"/>
      <c r="X58" s="17"/>
      <c r="Y58" s="17"/>
      <c r="Z58" s="17"/>
      <c r="AA58" s="17"/>
      <c r="AB58" s="17"/>
    </row>
    <row r="59" spans="1:28" ht="18" customHeight="1" x14ac:dyDescent="0.25">
      <c r="A59" s="250">
        <v>30</v>
      </c>
      <c r="B59" s="244" t="s">
        <v>468</v>
      </c>
      <c r="C59" s="245">
        <v>797</v>
      </c>
      <c r="D59" s="245"/>
      <c r="E59" s="314" t="s">
        <v>531</v>
      </c>
      <c r="F59" s="245">
        <v>263</v>
      </c>
      <c r="G59" s="246" t="s">
        <v>28</v>
      </c>
      <c r="H59" s="246" t="s">
        <v>29</v>
      </c>
      <c r="I59" s="257"/>
      <c r="J59" s="313" t="s">
        <v>351</v>
      </c>
      <c r="K59" s="253" t="s">
        <v>49</v>
      </c>
      <c r="L59" s="218"/>
      <c r="M59" s="207"/>
      <c r="N59" s="207"/>
      <c r="O59" s="247">
        <v>42655</v>
      </c>
      <c r="P59" s="248">
        <v>42660</v>
      </c>
      <c r="Q59" s="245">
        <v>160000832</v>
      </c>
      <c r="R59" s="248">
        <v>42669</v>
      </c>
      <c r="S59" s="248">
        <v>42673</v>
      </c>
      <c r="T59" s="247">
        <v>42729</v>
      </c>
      <c r="U59" s="247">
        <v>42745</v>
      </c>
      <c r="V59" s="247">
        <v>42739</v>
      </c>
      <c r="W59" s="218"/>
      <c r="X59" s="17"/>
      <c r="Y59" s="17"/>
      <c r="Z59" s="17"/>
      <c r="AA59" s="17"/>
      <c r="AB59" s="17"/>
    </row>
    <row r="60" spans="1:28" ht="18" customHeight="1" x14ac:dyDescent="0.25">
      <c r="A60" s="250">
        <v>31</v>
      </c>
      <c r="B60" s="244" t="s">
        <v>468</v>
      </c>
      <c r="C60" s="245">
        <v>84</v>
      </c>
      <c r="D60" s="245"/>
      <c r="E60" s="314" t="s">
        <v>532</v>
      </c>
      <c r="F60" s="245">
        <v>0</v>
      </c>
      <c r="G60" s="246" t="s">
        <v>64</v>
      </c>
      <c r="H60" s="246" t="s">
        <v>44</v>
      </c>
      <c r="I60" s="257"/>
      <c r="J60" s="313" t="s">
        <v>351</v>
      </c>
      <c r="K60" s="253" t="s">
        <v>49</v>
      </c>
      <c r="L60" s="218"/>
      <c r="M60" s="207"/>
      <c r="N60" s="207"/>
      <c r="O60" s="247">
        <v>42701</v>
      </c>
      <c r="P60" s="247">
        <v>42702</v>
      </c>
      <c r="Q60" s="247" t="s">
        <v>253</v>
      </c>
      <c r="R60" s="248">
        <v>42704</v>
      </c>
      <c r="S60" s="248">
        <v>42704</v>
      </c>
      <c r="T60" s="247">
        <v>42721</v>
      </c>
      <c r="U60" s="247">
        <v>42732</v>
      </c>
      <c r="V60" s="247">
        <v>42733</v>
      </c>
      <c r="W60" s="218"/>
    </row>
    <row r="61" spans="1:28" ht="18" customHeight="1" x14ac:dyDescent="0.25">
      <c r="A61" s="250">
        <v>32</v>
      </c>
      <c r="B61" s="256" t="s">
        <v>468</v>
      </c>
      <c r="C61" s="245">
        <v>812</v>
      </c>
      <c r="D61" s="245"/>
      <c r="E61" s="314" t="s">
        <v>533</v>
      </c>
      <c r="F61" s="245">
        <v>255</v>
      </c>
      <c r="G61" s="246" t="s">
        <v>48</v>
      </c>
      <c r="H61" s="246" t="s">
        <v>29</v>
      </c>
      <c r="I61" s="257"/>
      <c r="J61" s="313" t="s">
        <v>351</v>
      </c>
      <c r="K61" s="253" t="s">
        <v>49</v>
      </c>
      <c r="L61" s="259"/>
      <c r="M61" s="258"/>
      <c r="N61" s="258"/>
      <c r="O61" s="247">
        <v>42613</v>
      </c>
      <c r="P61" s="248">
        <v>42620</v>
      </c>
      <c r="Q61" s="245">
        <v>160000656</v>
      </c>
      <c r="R61" s="248">
        <v>42633</v>
      </c>
      <c r="S61" s="248">
        <v>42655</v>
      </c>
      <c r="T61" s="247">
        <v>42722</v>
      </c>
      <c r="U61" s="247">
        <v>42731</v>
      </c>
      <c r="V61" s="247">
        <v>42732</v>
      </c>
      <c r="W61" s="247">
        <v>42750</v>
      </c>
    </row>
    <row r="62" spans="1:28" ht="18" customHeight="1" x14ac:dyDescent="0.25">
      <c r="A62" s="250">
        <v>33</v>
      </c>
      <c r="B62" s="244" t="s">
        <v>468</v>
      </c>
      <c r="C62" s="245">
        <v>813</v>
      </c>
      <c r="D62" s="245"/>
      <c r="E62" s="314" t="s">
        <v>534</v>
      </c>
      <c r="F62" s="245">
        <v>150</v>
      </c>
      <c r="G62" s="246" t="s">
        <v>28</v>
      </c>
      <c r="H62" s="246" t="s">
        <v>44</v>
      </c>
      <c r="I62" s="257"/>
      <c r="J62" s="313" t="s">
        <v>351</v>
      </c>
      <c r="K62" s="253" t="s">
        <v>49</v>
      </c>
      <c r="L62" s="247">
        <v>42641</v>
      </c>
      <c r="M62" s="207"/>
      <c r="N62" s="207"/>
      <c r="O62" s="247">
        <v>42654</v>
      </c>
      <c r="P62" s="248">
        <v>42658</v>
      </c>
      <c r="Q62" s="245">
        <v>160000794</v>
      </c>
      <c r="R62" s="248">
        <v>42661</v>
      </c>
      <c r="S62" s="248">
        <v>42672</v>
      </c>
      <c r="T62" s="247">
        <v>42724</v>
      </c>
      <c r="U62" s="247">
        <v>42731</v>
      </c>
      <c r="V62" s="247">
        <v>42732</v>
      </c>
      <c r="W62" s="247">
        <v>42732</v>
      </c>
    </row>
    <row r="63" spans="1:28" ht="18" customHeight="1" x14ac:dyDescent="0.25">
      <c r="A63" s="250">
        <v>34</v>
      </c>
      <c r="B63" s="244" t="s">
        <v>468</v>
      </c>
      <c r="C63" s="245">
        <v>814</v>
      </c>
      <c r="D63" s="245"/>
      <c r="E63" s="314" t="s">
        <v>535</v>
      </c>
      <c r="F63" s="245">
        <v>255</v>
      </c>
      <c r="G63" s="246" t="s">
        <v>48</v>
      </c>
      <c r="H63" s="246" t="s">
        <v>29</v>
      </c>
      <c r="I63" s="257"/>
      <c r="J63" s="313" t="s">
        <v>351</v>
      </c>
      <c r="K63" s="253" t="s">
        <v>49</v>
      </c>
      <c r="L63" s="218"/>
      <c r="M63" s="207"/>
      <c r="N63" s="207"/>
      <c r="O63" s="247">
        <v>42655</v>
      </c>
      <c r="P63" s="248">
        <v>42660</v>
      </c>
      <c r="Q63" s="245">
        <v>160000829</v>
      </c>
      <c r="R63" s="248">
        <v>42669</v>
      </c>
      <c r="S63" s="248">
        <v>42677</v>
      </c>
      <c r="T63" s="247">
        <v>42730</v>
      </c>
      <c r="U63" s="247">
        <v>42740</v>
      </c>
      <c r="V63" s="247">
        <v>42732</v>
      </c>
      <c r="W63" s="247">
        <v>42754</v>
      </c>
    </row>
    <row r="64" spans="1:28" ht="18" customHeight="1" x14ac:dyDescent="0.25">
      <c r="A64" s="250">
        <v>35</v>
      </c>
      <c r="B64" s="244" t="s">
        <v>468</v>
      </c>
      <c r="C64" s="245">
        <v>789</v>
      </c>
      <c r="D64" s="245"/>
      <c r="E64" s="314" t="s">
        <v>536</v>
      </c>
      <c r="F64" s="245">
        <v>177</v>
      </c>
      <c r="G64" s="246" t="s">
        <v>28</v>
      </c>
      <c r="H64" s="246" t="s">
        <v>29</v>
      </c>
      <c r="I64" s="257"/>
      <c r="J64" s="313" t="s">
        <v>351</v>
      </c>
      <c r="K64" s="253" t="s">
        <v>49</v>
      </c>
      <c r="L64" s="218"/>
      <c r="M64" s="207"/>
      <c r="N64" s="207"/>
      <c r="O64" s="247">
        <v>42655</v>
      </c>
      <c r="P64" s="248">
        <v>42660</v>
      </c>
      <c r="Q64" s="245">
        <v>160000830</v>
      </c>
      <c r="R64" s="248">
        <v>42669</v>
      </c>
      <c r="S64" s="248">
        <v>42673</v>
      </c>
      <c r="T64" s="247">
        <v>42730</v>
      </c>
      <c r="U64" s="247">
        <v>42740</v>
      </c>
      <c r="V64" s="247">
        <v>42732</v>
      </c>
      <c r="W64" s="247">
        <v>42732</v>
      </c>
    </row>
    <row r="65" spans="1:23" ht="18" customHeight="1" x14ac:dyDescent="0.25">
      <c r="A65" s="250">
        <v>36</v>
      </c>
      <c r="B65" s="244" t="s">
        <v>468</v>
      </c>
      <c r="C65" s="245">
        <v>787</v>
      </c>
      <c r="D65" s="245"/>
      <c r="E65" s="314" t="s">
        <v>537</v>
      </c>
      <c r="F65" s="245">
        <v>115</v>
      </c>
      <c r="G65" s="246" t="s">
        <v>28</v>
      </c>
      <c r="H65" s="246" t="s">
        <v>29</v>
      </c>
      <c r="I65" s="257"/>
      <c r="J65" s="313" t="s">
        <v>351</v>
      </c>
      <c r="K65" s="253" t="s">
        <v>49</v>
      </c>
      <c r="L65" s="218"/>
      <c r="M65" s="207"/>
      <c r="N65" s="207"/>
      <c r="O65" s="247">
        <v>42655</v>
      </c>
      <c r="P65" s="248">
        <v>42660</v>
      </c>
      <c r="Q65" s="245">
        <v>160000831</v>
      </c>
      <c r="R65" s="248">
        <v>42669</v>
      </c>
      <c r="S65" s="248">
        <v>42675</v>
      </c>
      <c r="T65" s="247">
        <v>42730</v>
      </c>
      <c r="U65" s="247">
        <v>42740</v>
      </c>
      <c r="V65" s="247">
        <v>42732</v>
      </c>
      <c r="W65" s="247">
        <v>42732</v>
      </c>
    </row>
    <row r="66" spans="1:23" ht="18" customHeight="1" x14ac:dyDescent="0.25">
      <c r="A66" s="250">
        <v>37</v>
      </c>
      <c r="B66" s="244" t="s">
        <v>468</v>
      </c>
      <c r="C66" s="245">
        <v>805</v>
      </c>
      <c r="D66" s="245"/>
      <c r="E66" s="314" t="s">
        <v>538</v>
      </c>
      <c r="F66" s="245">
        <v>180</v>
      </c>
      <c r="G66" s="246" t="s">
        <v>28</v>
      </c>
      <c r="H66" s="246" t="s">
        <v>44</v>
      </c>
      <c r="I66" s="257"/>
      <c r="J66" s="313" t="s">
        <v>351</v>
      </c>
      <c r="K66" s="253" t="s">
        <v>49</v>
      </c>
      <c r="L66" s="218"/>
      <c r="M66" s="207"/>
      <c r="N66" s="207"/>
      <c r="O66" s="247">
        <v>42655</v>
      </c>
      <c r="P66" s="248">
        <v>42660</v>
      </c>
      <c r="Q66" s="245">
        <v>160000833</v>
      </c>
      <c r="R66" s="248">
        <v>42669</v>
      </c>
      <c r="S66" s="248">
        <v>42673</v>
      </c>
      <c r="T66" s="247">
        <v>42730</v>
      </c>
      <c r="U66" s="247">
        <v>42740</v>
      </c>
      <c r="V66" s="247">
        <v>42732</v>
      </c>
      <c r="W66" s="247">
        <v>42732</v>
      </c>
    </row>
    <row r="67" spans="1:23" ht="18" customHeight="1" x14ac:dyDescent="0.25">
      <c r="A67" s="250">
        <v>38</v>
      </c>
      <c r="B67" s="244" t="s">
        <v>468</v>
      </c>
      <c r="C67" s="245" t="s">
        <v>474</v>
      </c>
      <c r="D67" s="204"/>
      <c r="E67" s="314" t="s">
        <v>539</v>
      </c>
      <c r="F67" s="245" t="s">
        <v>116</v>
      </c>
      <c r="G67" s="246" t="s">
        <v>64</v>
      </c>
      <c r="H67" s="246" t="s">
        <v>44</v>
      </c>
      <c r="I67" s="257"/>
      <c r="J67" s="313" t="s">
        <v>351</v>
      </c>
      <c r="K67" s="253" t="s">
        <v>49</v>
      </c>
      <c r="L67" s="218"/>
      <c r="M67" s="207"/>
      <c r="N67" s="207"/>
      <c r="O67" s="247">
        <v>42613</v>
      </c>
      <c r="P67" s="248">
        <v>42617</v>
      </c>
      <c r="Q67" s="245">
        <v>160000643</v>
      </c>
      <c r="R67" s="248">
        <v>42638</v>
      </c>
      <c r="S67" s="248">
        <v>42639</v>
      </c>
      <c r="T67" s="248">
        <v>42699</v>
      </c>
      <c r="U67" s="248">
        <v>42709</v>
      </c>
      <c r="V67" s="248">
        <v>42709</v>
      </c>
      <c r="W67" s="248">
        <v>42709</v>
      </c>
    </row>
    <row r="68" spans="1:23" ht="18" customHeight="1" x14ac:dyDescent="0.25">
      <c r="A68" s="250">
        <v>39</v>
      </c>
      <c r="B68" s="250" t="s">
        <v>468</v>
      </c>
      <c r="C68" s="260">
        <v>800</v>
      </c>
      <c r="D68" s="260"/>
      <c r="E68" s="314" t="s">
        <v>540</v>
      </c>
      <c r="F68" s="245">
        <v>129</v>
      </c>
      <c r="G68" s="246" t="s">
        <v>28</v>
      </c>
      <c r="H68" s="246" t="s">
        <v>44</v>
      </c>
      <c r="I68" s="15"/>
      <c r="J68" s="313" t="s">
        <v>351</v>
      </c>
      <c r="K68" s="261" t="s">
        <v>49</v>
      </c>
      <c r="L68" s="218"/>
      <c r="M68" s="207"/>
      <c r="N68" s="207"/>
      <c r="O68" s="247">
        <v>42634</v>
      </c>
      <c r="P68" s="248">
        <v>42638</v>
      </c>
      <c r="Q68" s="245">
        <v>160000713</v>
      </c>
      <c r="R68" s="248">
        <v>42641</v>
      </c>
      <c r="S68" s="248">
        <v>42642</v>
      </c>
      <c r="T68" s="247">
        <v>42697</v>
      </c>
      <c r="U68" s="248">
        <v>42707</v>
      </c>
      <c r="V68" s="248">
        <v>42702</v>
      </c>
      <c r="W68" s="248">
        <v>42702</v>
      </c>
    </row>
    <row r="69" spans="1:23" ht="18" customHeight="1" x14ac:dyDescent="0.25">
      <c r="A69" s="250">
        <v>40</v>
      </c>
      <c r="B69" s="250" t="s">
        <v>468</v>
      </c>
      <c r="C69" s="245">
        <v>47</v>
      </c>
      <c r="D69" s="245"/>
      <c r="E69" s="314" t="s">
        <v>541</v>
      </c>
      <c r="F69" s="245">
        <v>265</v>
      </c>
      <c r="G69" s="246" t="s">
        <v>64</v>
      </c>
      <c r="H69" s="246" t="s">
        <v>29</v>
      </c>
      <c r="I69" s="15"/>
      <c r="J69" s="313" t="s">
        <v>351</v>
      </c>
      <c r="K69" s="262" t="s">
        <v>49</v>
      </c>
      <c r="L69" s="247">
        <v>42416</v>
      </c>
      <c r="M69" s="248" t="s">
        <v>254</v>
      </c>
      <c r="N69" s="207"/>
      <c r="O69" s="247">
        <v>42450</v>
      </c>
      <c r="P69" s="248">
        <v>42452</v>
      </c>
      <c r="Q69" s="207"/>
      <c r="R69" s="248">
        <v>42487</v>
      </c>
      <c r="S69" s="248">
        <v>42557</v>
      </c>
      <c r="T69" s="247">
        <v>42623</v>
      </c>
      <c r="U69" s="247">
        <v>42623</v>
      </c>
      <c r="V69" s="247">
        <v>42623</v>
      </c>
      <c r="W69" s="247">
        <v>42623</v>
      </c>
    </row>
    <row r="70" spans="1:23" ht="18" customHeight="1" x14ac:dyDescent="0.25">
      <c r="A70" s="250">
        <v>41</v>
      </c>
      <c r="B70" s="250" t="s">
        <v>468</v>
      </c>
      <c r="C70" s="245">
        <v>53</v>
      </c>
      <c r="D70" s="245"/>
      <c r="E70" s="314" t="s">
        <v>542</v>
      </c>
      <c r="F70" s="245">
        <v>140</v>
      </c>
      <c r="G70" s="246" t="s">
        <v>64</v>
      </c>
      <c r="H70" s="246" t="s">
        <v>44</v>
      </c>
      <c r="I70" s="263"/>
      <c r="J70" s="313" t="s">
        <v>351</v>
      </c>
      <c r="K70" s="262" t="s">
        <v>49</v>
      </c>
      <c r="L70" s="247">
        <v>42514</v>
      </c>
      <c r="M70" s="207"/>
      <c r="N70" s="207"/>
      <c r="O70" s="247">
        <v>42526</v>
      </c>
      <c r="P70" s="248">
        <v>42530</v>
      </c>
      <c r="Q70" s="207"/>
      <c r="R70" s="248">
        <v>42537</v>
      </c>
      <c r="S70" s="248">
        <v>42582</v>
      </c>
      <c r="T70" s="247">
        <v>42679</v>
      </c>
      <c r="U70" s="247">
        <v>42679</v>
      </c>
      <c r="V70" s="247">
        <v>42679</v>
      </c>
      <c r="W70" s="247">
        <v>42679</v>
      </c>
    </row>
    <row r="71" spans="1:23" ht="18" customHeight="1" x14ac:dyDescent="0.25">
      <c r="A71" s="250">
        <v>42</v>
      </c>
      <c r="B71" s="250" t="s">
        <v>468</v>
      </c>
      <c r="C71" s="260">
        <v>2</v>
      </c>
      <c r="D71" s="245"/>
      <c r="E71" s="314" t="s">
        <v>543</v>
      </c>
      <c r="F71" s="245">
        <v>285</v>
      </c>
      <c r="G71" s="246" t="s">
        <v>233</v>
      </c>
      <c r="H71" s="246" t="s">
        <v>44</v>
      </c>
      <c r="I71" s="15"/>
      <c r="J71" s="313" t="s">
        <v>351</v>
      </c>
      <c r="K71" s="262" t="s">
        <v>49</v>
      </c>
      <c r="L71" s="259"/>
      <c r="M71" s="258"/>
      <c r="N71" s="258"/>
      <c r="O71" s="218"/>
      <c r="P71" s="207"/>
      <c r="Q71" s="207"/>
      <c r="R71" s="207"/>
      <c r="S71" s="248">
        <v>42579</v>
      </c>
      <c r="T71" s="248">
        <v>42579</v>
      </c>
      <c r="U71" s="248">
        <v>42579</v>
      </c>
      <c r="V71" s="248">
        <v>42579</v>
      </c>
      <c r="W71" s="248">
        <v>42579</v>
      </c>
    </row>
    <row r="72" spans="1:23" ht="18" customHeight="1" x14ac:dyDescent="0.25">
      <c r="A72" s="250">
        <v>43</v>
      </c>
      <c r="B72" s="250" t="s">
        <v>468</v>
      </c>
      <c r="C72" s="260">
        <v>70</v>
      </c>
      <c r="D72" s="245"/>
      <c r="E72" s="314" t="s">
        <v>544</v>
      </c>
      <c r="F72" s="245">
        <v>150</v>
      </c>
      <c r="G72" s="246" t="s">
        <v>233</v>
      </c>
      <c r="H72" s="246" t="s">
        <v>44</v>
      </c>
      <c r="I72" s="15"/>
      <c r="J72" s="313" t="s">
        <v>351</v>
      </c>
      <c r="K72" s="262" t="s">
        <v>49</v>
      </c>
      <c r="L72" s="259"/>
      <c r="M72" s="258"/>
      <c r="N72" s="258"/>
      <c r="O72" s="247">
        <v>42554</v>
      </c>
      <c r="P72" s="248">
        <v>42555</v>
      </c>
      <c r="Q72" s="207"/>
      <c r="R72" s="248">
        <v>42568</v>
      </c>
      <c r="S72" s="248">
        <v>42588</v>
      </c>
      <c r="T72" s="248">
        <v>42588</v>
      </c>
      <c r="U72" s="248">
        <v>42588</v>
      </c>
      <c r="V72" s="248">
        <v>42588</v>
      </c>
      <c r="W72" s="248">
        <v>42588</v>
      </c>
    </row>
    <row r="73" spans="1:23" ht="18" customHeight="1" x14ac:dyDescent="0.25">
      <c r="A73" s="250">
        <v>44</v>
      </c>
      <c r="B73" s="250" t="s">
        <v>468</v>
      </c>
      <c r="C73" s="265">
        <v>788</v>
      </c>
      <c r="D73" s="8"/>
      <c r="E73" s="314" t="s">
        <v>545</v>
      </c>
      <c r="F73" s="8">
        <v>110</v>
      </c>
      <c r="G73" s="8" t="s">
        <v>48</v>
      </c>
      <c r="H73" s="246" t="s">
        <v>29</v>
      </c>
      <c r="I73" s="7"/>
      <c r="J73" s="313" t="s">
        <v>351</v>
      </c>
      <c r="K73" s="262" t="s">
        <v>49</v>
      </c>
      <c r="L73" s="6">
        <v>42451</v>
      </c>
      <c r="M73" s="5">
        <v>42458</v>
      </c>
      <c r="N73" s="4"/>
      <c r="O73" s="6">
        <v>42472</v>
      </c>
      <c r="P73" s="5">
        <v>42472</v>
      </c>
      <c r="Q73" s="4"/>
      <c r="R73" s="5">
        <v>42481</v>
      </c>
      <c r="S73" s="5">
        <v>42528</v>
      </c>
      <c r="T73" s="264">
        <v>42584</v>
      </c>
      <c r="U73" s="264">
        <v>42584</v>
      </c>
      <c r="V73" s="264">
        <v>42584</v>
      </c>
      <c r="W73" s="264">
        <v>42584</v>
      </c>
    </row>
    <row r="74" spans="1:23" ht="18" customHeight="1" x14ac:dyDescent="0.25">
      <c r="A74" s="250">
        <v>45</v>
      </c>
      <c r="B74" s="250" t="s">
        <v>468</v>
      </c>
      <c r="C74" s="265">
        <v>790</v>
      </c>
      <c r="D74" s="8"/>
      <c r="E74" s="314" t="s">
        <v>546</v>
      </c>
      <c r="F74" s="8">
        <v>176</v>
      </c>
      <c r="G74" s="8" t="s">
        <v>48</v>
      </c>
      <c r="H74" s="246" t="s">
        <v>29</v>
      </c>
      <c r="I74" s="7"/>
      <c r="J74" s="313" t="s">
        <v>351</v>
      </c>
      <c r="K74" s="262" t="s">
        <v>49</v>
      </c>
      <c r="L74" s="6">
        <v>42451</v>
      </c>
      <c r="M74" s="5">
        <v>42458</v>
      </c>
      <c r="N74" s="4"/>
      <c r="O74" s="6">
        <v>42472</v>
      </c>
      <c r="P74" s="5">
        <v>42472</v>
      </c>
      <c r="Q74" s="4"/>
      <c r="R74" s="5">
        <v>42481</v>
      </c>
      <c r="S74" s="5">
        <v>42528</v>
      </c>
      <c r="T74" s="264">
        <v>42584</v>
      </c>
      <c r="U74" s="264">
        <v>42584</v>
      </c>
      <c r="V74" s="264">
        <v>42584</v>
      </c>
      <c r="W74" s="264">
        <v>42584</v>
      </c>
    </row>
    <row r="75" spans="1:23" ht="18" customHeight="1" x14ac:dyDescent="0.25">
      <c r="A75" s="250">
        <v>46</v>
      </c>
      <c r="B75" s="250" t="s">
        <v>468</v>
      </c>
      <c r="C75" s="265">
        <v>791</v>
      </c>
      <c r="D75" s="8"/>
      <c r="E75" s="314" t="s">
        <v>547</v>
      </c>
      <c r="F75" s="8">
        <v>263</v>
      </c>
      <c r="G75" s="8" t="s">
        <v>48</v>
      </c>
      <c r="H75" s="246" t="s">
        <v>29</v>
      </c>
      <c r="I75" s="7"/>
      <c r="J75" s="313" t="s">
        <v>351</v>
      </c>
      <c r="K75" s="262" t="s">
        <v>49</v>
      </c>
      <c r="L75" s="6">
        <v>42451</v>
      </c>
      <c r="M75" s="5">
        <v>42458</v>
      </c>
      <c r="N75" s="4"/>
      <c r="O75" s="6">
        <v>42472</v>
      </c>
      <c r="P75" s="5">
        <v>42472</v>
      </c>
      <c r="Q75" s="4"/>
      <c r="R75" s="5">
        <v>42481</v>
      </c>
      <c r="S75" s="5">
        <v>42528</v>
      </c>
      <c r="T75" s="264">
        <v>42584</v>
      </c>
      <c r="U75" s="264">
        <v>42584</v>
      </c>
      <c r="V75" s="264">
        <v>42584</v>
      </c>
      <c r="W75" s="264">
        <v>42584</v>
      </c>
    </row>
    <row r="76" spans="1:23" ht="18" customHeight="1" x14ac:dyDescent="0.25">
      <c r="A76" s="250">
        <v>47</v>
      </c>
      <c r="B76" s="244" t="s">
        <v>468</v>
      </c>
      <c r="C76" s="245">
        <v>811</v>
      </c>
      <c r="D76" s="245"/>
      <c r="E76" s="314" t="s">
        <v>548</v>
      </c>
      <c r="F76" s="245">
        <v>90</v>
      </c>
      <c r="G76" s="246" t="s">
        <v>48</v>
      </c>
      <c r="H76" s="246" t="s">
        <v>29</v>
      </c>
      <c r="I76" s="263"/>
      <c r="J76" s="313" t="s">
        <v>351</v>
      </c>
      <c r="K76" s="262" t="s">
        <v>182</v>
      </c>
      <c r="L76" s="218"/>
      <c r="M76" s="207"/>
      <c r="N76" s="207"/>
      <c r="O76" s="247">
        <v>42617</v>
      </c>
      <c r="P76" s="248">
        <v>42617</v>
      </c>
      <c r="Q76" s="245">
        <v>160000645</v>
      </c>
      <c r="R76" s="248">
        <v>42621</v>
      </c>
      <c r="S76" s="248">
        <v>42645</v>
      </c>
      <c r="T76" s="247">
        <v>42681</v>
      </c>
      <c r="U76" s="248">
        <v>42695</v>
      </c>
      <c r="V76" s="248">
        <v>42695</v>
      </c>
      <c r="W76" s="248">
        <v>42695</v>
      </c>
    </row>
    <row r="77" spans="1:23" ht="18" customHeight="1" x14ac:dyDescent="0.25">
      <c r="A77" s="250">
        <v>48</v>
      </c>
      <c r="B77" s="250" t="s">
        <v>468</v>
      </c>
      <c r="C77" s="265">
        <v>774</v>
      </c>
      <c r="D77" s="265"/>
      <c r="E77" s="314" t="s">
        <v>549</v>
      </c>
      <c r="F77" s="3">
        <v>245</v>
      </c>
      <c r="G77" s="14" t="s">
        <v>28</v>
      </c>
      <c r="H77" s="14" t="s">
        <v>44</v>
      </c>
      <c r="I77" s="15"/>
      <c r="J77" s="313" t="s">
        <v>351</v>
      </c>
      <c r="K77" s="262" t="s">
        <v>49</v>
      </c>
      <c r="L77" s="13">
        <v>42360</v>
      </c>
      <c r="M77" s="12">
        <v>42361</v>
      </c>
      <c r="N77" s="12">
        <v>42482</v>
      </c>
      <c r="O77" s="13">
        <v>42484</v>
      </c>
      <c r="P77" s="12">
        <v>42486</v>
      </c>
      <c r="Q77" s="4"/>
      <c r="R77" s="12">
        <v>42506</v>
      </c>
      <c r="S77" s="12">
        <v>42516</v>
      </c>
      <c r="T77" s="247">
        <v>42592</v>
      </c>
      <c r="U77" s="218"/>
      <c r="V77" s="218">
        <v>42593</v>
      </c>
      <c r="W77" s="218">
        <v>42593</v>
      </c>
    </row>
    <row r="78" spans="1:23" ht="18" customHeight="1" x14ac:dyDescent="0.25">
      <c r="A78" s="250">
        <v>49</v>
      </c>
      <c r="B78" s="250" t="s">
        <v>468</v>
      </c>
      <c r="C78" s="265">
        <v>786</v>
      </c>
      <c r="D78" s="265"/>
      <c r="E78" s="314" t="s">
        <v>550</v>
      </c>
      <c r="F78" s="3">
        <v>240</v>
      </c>
      <c r="G78" s="14" t="s">
        <v>28</v>
      </c>
      <c r="H78" s="14" t="s">
        <v>44</v>
      </c>
      <c r="I78" s="15"/>
      <c r="J78" s="313" t="s">
        <v>351</v>
      </c>
      <c r="K78" s="262" t="s">
        <v>49</v>
      </c>
      <c r="L78" s="13">
        <v>42433</v>
      </c>
      <c r="M78" s="12">
        <v>42435</v>
      </c>
      <c r="N78" s="12">
        <v>42457</v>
      </c>
      <c r="O78" s="13">
        <v>42472</v>
      </c>
      <c r="P78" s="12">
        <v>42472</v>
      </c>
      <c r="Q78" s="4"/>
      <c r="R78" s="12">
        <v>42487</v>
      </c>
      <c r="S78" s="12">
        <v>42532</v>
      </c>
      <c r="T78" s="247">
        <v>42597</v>
      </c>
      <c r="U78" s="218"/>
      <c r="V78" s="218">
        <v>42602</v>
      </c>
      <c r="W78" s="218">
        <v>42602</v>
      </c>
    </row>
    <row r="79" spans="1:23" ht="18" customHeight="1" x14ac:dyDescent="0.25">
      <c r="A79" s="250">
        <v>50</v>
      </c>
      <c r="B79" s="250" t="s">
        <v>468</v>
      </c>
      <c r="C79" s="265">
        <v>17</v>
      </c>
      <c r="D79" s="265"/>
      <c r="E79" s="314" t="s">
        <v>551</v>
      </c>
      <c r="F79" s="3">
        <v>400</v>
      </c>
      <c r="G79" s="14" t="s">
        <v>28</v>
      </c>
      <c r="H79" s="14" t="s">
        <v>29</v>
      </c>
      <c r="I79" s="15"/>
      <c r="J79" s="313" t="s">
        <v>351</v>
      </c>
      <c r="K79" s="262" t="s">
        <v>49</v>
      </c>
      <c r="L79" s="13">
        <v>42416</v>
      </c>
      <c r="M79" s="12" t="s">
        <v>254</v>
      </c>
      <c r="N79" s="4"/>
      <c r="O79" s="13">
        <v>42450</v>
      </c>
      <c r="P79" s="12">
        <v>42452</v>
      </c>
      <c r="Q79" s="4"/>
      <c r="R79" s="12">
        <v>42487</v>
      </c>
      <c r="S79" s="12">
        <v>42553</v>
      </c>
      <c r="T79" s="247">
        <v>42623</v>
      </c>
      <c r="U79" s="218"/>
      <c r="V79" s="218">
        <v>42624</v>
      </c>
      <c r="W79" s="218">
        <v>42624</v>
      </c>
    </row>
    <row r="80" spans="1:23" ht="18" customHeight="1" x14ac:dyDescent="0.25">
      <c r="A80" s="250">
        <v>51</v>
      </c>
      <c r="B80" s="250" t="s">
        <v>468</v>
      </c>
      <c r="C80" s="265">
        <v>1</v>
      </c>
      <c r="D80" s="265"/>
      <c r="E80" s="314" t="s">
        <v>552</v>
      </c>
      <c r="F80" s="3">
        <v>165</v>
      </c>
      <c r="G80" s="14" t="s">
        <v>28</v>
      </c>
      <c r="H80" s="14" t="s">
        <v>44</v>
      </c>
      <c r="I80" s="15"/>
      <c r="J80" s="313" t="s">
        <v>351</v>
      </c>
      <c r="K80" s="262" t="s">
        <v>49</v>
      </c>
      <c r="L80" s="13">
        <v>42416</v>
      </c>
      <c r="M80" s="12" t="s">
        <v>254</v>
      </c>
      <c r="N80" s="4"/>
      <c r="O80" s="13">
        <v>42450</v>
      </c>
      <c r="P80" s="12">
        <v>42452</v>
      </c>
      <c r="Q80" s="4"/>
      <c r="R80" s="12">
        <v>42487</v>
      </c>
      <c r="S80" s="12" t="s">
        <v>255</v>
      </c>
      <c r="T80" s="247">
        <v>42594</v>
      </c>
      <c r="U80" s="218"/>
      <c r="V80" s="218">
        <v>42596</v>
      </c>
      <c r="W80" s="218">
        <v>42596</v>
      </c>
    </row>
    <row r="81" spans="1:23" ht="18" customHeight="1" x14ac:dyDescent="0.25">
      <c r="A81" s="250">
        <v>52</v>
      </c>
      <c r="B81" s="250" t="s">
        <v>468</v>
      </c>
      <c r="C81" s="265">
        <v>9</v>
      </c>
      <c r="D81" s="266"/>
      <c r="E81" s="314" t="s">
        <v>553</v>
      </c>
      <c r="F81" s="266">
        <v>268</v>
      </c>
      <c r="G81" s="266" t="s">
        <v>64</v>
      </c>
      <c r="H81" s="266" t="s">
        <v>44</v>
      </c>
      <c r="I81" s="267"/>
      <c r="J81" s="313" t="s">
        <v>351</v>
      </c>
      <c r="K81" s="262" t="s">
        <v>49</v>
      </c>
      <c r="L81" s="268"/>
      <c r="M81" s="4"/>
      <c r="N81" s="5">
        <v>42261</v>
      </c>
      <c r="O81" s="218"/>
      <c r="P81" s="207"/>
      <c r="Q81" s="207"/>
      <c r="R81" s="207"/>
      <c r="S81" s="207"/>
      <c r="T81" s="218"/>
      <c r="U81" s="218"/>
      <c r="V81" s="218">
        <v>42402</v>
      </c>
      <c r="W81" s="218">
        <v>42403</v>
      </c>
    </row>
    <row r="82" spans="1:23" ht="18" customHeight="1" x14ac:dyDescent="0.25">
      <c r="A82" s="250">
        <v>53</v>
      </c>
      <c r="B82" s="244" t="s">
        <v>468</v>
      </c>
      <c r="C82" s="266">
        <v>761</v>
      </c>
      <c r="D82" s="266"/>
      <c r="E82" s="314" t="s">
        <v>554</v>
      </c>
      <c r="F82" s="266">
        <v>135</v>
      </c>
      <c r="G82" s="266" t="s">
        <v>64</v>
      </c>
      <c r="H82" s="246" t="s">
        <v>29</v>
      </c>
      <c r="I82" s="267"/>
      <c r="J82" s="313" t="s">
        <v>351</v>
      </c>
      <c r="K82" s="262" t="s">
        <v>49</v>
      </c>
      <c r="L82" s="6">
        <v>42360</v>
      </c>
      <c r="M82" s="4"/>
      <c r="N82" s="5">
        <v>42379</v>
      </c>
      <c r="O82" s="218"/>
      <c r="P82" s="207"/>
      <c r="Q82" s="207"/>
      <c r="R82" s="207"/>
      <c r="S82" s="207"/>
      <c r="T82" s="218"/>
      <c r="U82" s="218"/>
      <c r="V82" s="218">
        <v>42403</v>
      </c>
      <c r="W82" s="218">
        <v>42404</v>
      </c>
    </row>
    <row r="83" spans="1:23" ht="18" customHeight="1" x14ac:dyDescent="0.25">
      <c r="A83" s="250">
        <v>54</v>
      </c>
      <c r="B83" s="244" t="s">
        <v>468</v>
      </c>
      <c r="C83" s="266">
        <v>766</v>
      </c>
      <c r="D83" s="266"/>
      <c r="E83" s="314" t="s">
        <v>555</v>
      </c>
      <c r="F83" s="266">
        <v>295</v>
      </c>
      <c r="G83" s="266" t="s">
        <v>48</v>
      </c>
      <c r="H83" s="266" t="s">
        <v>44</v>
      </c>
      <c r="I83" s="267"/>
      <c r="J83" s="313" t="s">
        <v>351</v>
      </c>
      <c r="K83" s="262" t="s">
        <v>49</v>
      </c>
      <c r="L83" s="268"/>
      <c r="M83" s="4"/>
      <c r="N83" s="5">
        <v>42374</v>
      </c>
      <c r="O83" s="218"/>
      <c r="P83" s="207"/>
      <c r="Q83" s="207"/>
      <c r="R83" s="207"/>
      <c r="S83" s="207"/>
      <c r="T83" s="218"/>
      <c r="U83" s="218"/>
      <c r="V83" s="218">
        <v>42404</v>
      </c>
      <c r="W83" s="218">
        <v>42405</v>
      </c>
    </row>
    <row r="84" spans="1:23" ht="18" customHeight="1" x14ac:dyDescent="0.25">
      <c r="A84" s="250">
        <v>55</v>
      </c>
      <c r="B84" s="244" t="s">
        <v>468</v>
      </c>
      <c r="C84" s="266">
        <v>764</v>
      </c>
      <c r="D84" s="266"/>
      <c r="E84" s="314" t="s">
        <v>556</v>
      </c>
      <c r="F84" s="266">
        <v>420</v>
      </c>
      <c r="G84" s="266" t="s">
        <v>48</v>
      </c>
      <c r="H84" s="246" t="s">
        <v>29</v>
      </c>
      <c r="I84" s="267"/>
      <c r="J84" s="313" t="s">
        <v>351</v>
      </c>
      <c r="K84" s="262" t="s">
        <v>49</v>
      </c>
      <c r="L84" s="6">
        <v>42337</v>
      </c>
      <c r="M84" s="4"/>
      <c r="N84" s="5">
        <v>42405</v>
      </c>
      <c r="O84" s="218"/>
      <c r="P84" s="207"/>
      <c r="Q84" s="207"/>
      <c r="R84" s="207"/>
      <c r="S84" s="207"/>
      <c r="T84" s="218"/>
      <c r="U84" s="218"/>
      <c r="V84" s="218">
        <v>42432</v>
      </c>
      <c r="W84" s="218">
        <v>42433</v>
      </c>
    </row>
    <row r="85" spans="1:23" ht="18" customHeight="1" x14ac:dyDescent="0.25">
      <c r="A85" s="250">
        <v>56</v>
      </c>
      <c r="B85" s="244" t="s">
        <v>468</v>
      </c>
      <c r="C85" s="266">
        <v>767</v>
      </c>
      <c r="D85" s="266"/>
      <c r="E85" s="314" t="s">
        <v>557</v>
      </c>
      <c r="F85" s="266">
        <v>225</v>
      </c>
      <c r="G85" s="266" t="s">
        <v>48</v>
      </c>
      <c r="H85" s="266" t="s">
        <v>44</v>
      </c>
      <c r="I85" s="267"/>
      <c r="J85" s="313" t="s">
        <v>351</v>
      </c>
      <c r="K85" s="262" t="s">
        <v>49</v>
      </c>
      <c r="L85" s="6">
        <v>42370</v>
      </c>
      <c r="M85" s="4"/>
      <c r="N85" s="5">
        <v>42374</v>
      </c>
      <c r="O85" s="218"/>
      <c r="P85" s="207"/>
      <c r="Q85" s="207"/>
      <c r="R85" s="207"/>
      <c r="S85" s="207"/>
      <c r="T85" s="218"/>
      <c r="U85" s="218"/>
      <c r="V85" s="205">
        <v>42443</v>
      </c>
      <c r="W85" s="205">
        <v>42444</v>
      </c>
    </row>
    <row r="86" spans="1:23" ht="18" customHeight="1" x14ac:dyDescent="0.25">
      <c r="A86" s="250">
        <v>57</v>
      </c>
      <c r="B86" s="244" t="s">
        <v>468</v>
      </c>
      <c r="C86" s="266">
        <v>765</v>
      </c>
      <c r="D86" s="266"/>
      <c r="E86" s="314" t="s">
        <v>558</v>
      </c>
      <c r="F86" s="266">
        <v>245</v>
      </c>
      <c r="G86" s="266" t="s">
        <v>48</v>
      </c>
      <c r="H86" s="266" t="s">
        <v>44</v>
      </c>
      <c r="I86" s="267"/>
      <c r="J86" s="313" t="s">
        <v>351</v>
      </c>
      <c r="K86" s="262" t="s">
        <v>49</v>
      </c>
      <c r="L86" s="6">
        <v>42345</v>
      </c>
      <c r="M86" s="4"/>
      <c r="N86" s="5">
        <v>42406</v>
      </c>
      <c r="O86" s="218"/>
      <c r="P86" s="207"/>
      <c r="Q86" s="207"/>
      <c r="R86" s="207"/>
      <c r="S86" s="207"/>
      <c r="T86" s="218"/>
      <c r="U86" s="218"/>
      <c r="V86" s="218">
        <v>42464</v>
      </c>
      <c r="W86" s="218">
        <v>42465</v>
      </c>
    </row>
    <row r="87" spans="1:23" ht="18" customHeight="1" x14ac:dyDescent="0.25">
      <c r="A87" s="250">
        <v>58</v>
      </c>
      <c r="B87" s="244" t="s">
        <v>468</v>
      </c>
      <c r="C87" s="266">
        <v>774</v>
      </c>
      <c r="D87" s="266"/>
      <c r="E87" s="314" t="s">
        <v>559</v>
      </c>
      <c r="F87" s="266">
        <v>245</v>
      </c>
      <c r="G87" s="266" t="s">
        <v>48</v>
      </c>
      <c r="H87" s="266" t="s">
        <v>44</v>
      </c>
      <c r="I87" s="267"/>
      <c r="J87" s="313" t="s">
        <v>351</v>
      </c>
      <c r="K87" s="262" t="s">
        <v>49</v>
      </c>
      <c r="L87" s="6">
        <v>42382</v>
      </c>
      <c r="M87" s="5">
        <v>42382</v>
      </c>
      <c r="N87" s="5">
        <v>42406</v>
      </c>
      <c r="O87" s="264">
        <v>42410</v>
      </c>
      <c r="P87" s="269">
        <v>42422</v>
      </c>
      <c r="Q87" s="207"/>
      <c r="R87" s="269">
        <v>42428</v>
      </c>
      <c r="S87" s="269">
        <v>42436</v>
      </c>
      <c r="T87" s="218"/>
      <c r="U87" s="218"/>
      <c r="V87" s="205">
        <v>42471</v>
      </c>
      <c r="W87" s="205">
        <v>42471</v>
      </c>
    </row>
    <row r="88" spans="1:23" ht="18" customHeight="1" x14ac:dyDescent="0.25">
      <c r="A88" s="250">
        <v>55</v>
      </c>
      <c r="B88" s="244" t="s">
        <v>468</v>
      </c>
      <c r="C88" s="262">
        <v>24</v>
      </c>
      <c r="D88" s="262"/>
      <c r="E88" s="314" t="s">
        <v>560</v>
      </c>
      <c r="F88" s="262">
        <v>400</v>
      </c>
      <c r="G88" s="262" t="s">
        <v>64</v>
      </c>
      <c r="H88" s="266" t="s">
        <v>44</v>
      </c>
      <c r="I88" s="270"/>
      <c r="J88" s="313" t="s">
        <v>351</v>
      </c>
      <c r="K88" s="262" t="s">
        <v>49</v>
      </c>
      <c r="L88" s="6">
        <v>42340</v>
      </c>
      <c r="M88" s="4"/>
      <c r="N88" s="5">
        <v>42402</v>
      </c>
      <c r="O88" s="264">
        <v>42557</v>
      </c>
      <c r="P88" s="269">
        <v>42557</v>
      </c>
      <c r="Q88" s="207"/>
      <c r="R88" s="269">
        <v>42719</v>
      </c>
      <c r="S88" s="269">
        <v>42402</v>
      </c>
      <c r="T88" s="264">
        <v>42482</v>
      </c>
      <c r="U88" s="218"/>
      <c r="V88" s="205">
        <v>42500</v>
      </c>
      <c r="W88" s="205">
        <v>42500</v>
      </c>
    </row>
    <row r="89" spans="1:23" ht="18" customHeight="1" x14ac:dyDescent="0.25">
      <c r="A89" s="250">
        <v>56</v>
      </c>
      <c r="B89" s="244" t="s">
        <v>468</v>
      </c>
      <c r="C89" s="266">
        <v>772</v>
      </c>
      <c r="D89" s="266"/>
      <c r="E89" s="314" t="s">
        <v>561</v>
      </c>
      <c r="F89" s="262">
        <v>215</v>
      </c>
      <c r="G89" s="262" t="s">
        <v>28</v>
      </c>
      <c r="H89" s="246" t="s">
        <v>29</v>
      </c>
      <c r="I89" s="270"/>
      <c r="J89" s="313" t="s">
        <v>351</v>
      </c>
      <c r="K89" s="262" t="s">
        <v>49</v>
      </c>
      <c r="L89" s="6">
        <v>42388</v>
      </c>
      <c r="M89" s="5">
        <v>42390</v>
      </c>
      <c r="N89" s="5">
        <v>42429</v>
      </c>
      <c r="O89" s="264">
        <v>42397</v>
      </c>
      <c r="P89" s="269">
        <v>42403</v>
      </c>
      <c r="Q89" s="207"/>
      <c r="R89" s="269">
        <v>42411</v>
      </c>
      <c r="S89" s="269">
        <v>42429</v>
      </c>
      <c r="T89" s="264">
        <v>42476</v>
      </c>
      <c r="U89" s="205">
        <v>42477</v>
      </c>
      <c r="V89" s="205">
        <v>42494</v>
      </c>
      <c r="W89" s="205">
        <v>42494</v>
      </c>
    </row>
    <row r="90" spans="1:23" ht="18" customHeight="1" x14ac:dyDescent="0.25">
      <c r="A90" s="250">
        <v>57</v>
      </c>
      <c r="B90" s="244" t="s">
        <v>468</v>
      </c>
      <c r="C90" s="266">
        <v>764</v>
      </c>
      <c r="D90" s="266"/>
      <c r="E90" s="314" t="s">
        <v>562</v>
      </c>
      <c r="F90" s="262">
        <v>420</v>
      </c>
      <c r="G90" s="262" t="s">
        <v>28</v>
      </c>
      <c r="H90" s="246" t="s">
        <v>29</v>
      </c>
      <c r="I90" s="270"/>
      <c r="J90" s="313" t="s">
        <v>351</v>
      </c>
      <c r="K90" s="262" t="s">
        <v>49</v>
      </c>
      <c r="L90" s="6">
        <v>42337</v>
      </c>
      <c r="M90" s="4"/>
      <c r="N90" s="5">
        <v>42405</v>
      </c>
      <c r="O90" s="264">
        <v>42732</v>
      </c>
      <c r="P90" s="269">
        <v>42732</v>
      </c>
      <c r="Q90" s="207"/>
      <c r="R90" s="269">
        <v>42375</v>
      </c>
      <c r="S90" s="269">
        <v>42465</v>
      </c>
      <c r="T90" s="264">
        <v>42495</v>
      </c>
      <c r="U90" s="218"/>
      <c r="V90" s="205">
        <v>42506</v>
      </c>
      <c r="W90" s="205">
        <v>42506</v>
      </c>
    </row>
    <row r="91" spans="1:23" ht="18" customHeight="1" x14ac:dyDescent="0.25">
      <c r="A91" s="250">
        <v>58</v>
      </c>
      <c r="B91" s="244" t="s">
        <v>468</v>
      </c>
      <c r="C91" s="262">
        <v>775</v>
      </c>
      <c r="D91" s="262"/>
      <c r="E91" s="314" t="s">
        <v>563</v>
      </c>
      <c r="F91" s="262">
        <v>250</v>
      </c>
      <c r="G91" s="262" t="s">
        <v>48</v>
      </c>
      <c r="H91" s="266" t="s">
        <v>44</v>
      </c>
      <c r="I91" s="270"/>
      <c r="J91" s="313" t="s">
        <v>351</v>
      </c>
      <c r="K91" s="262" t="s">
        <v>49</v>
      </c>
      <c r="L91" s="6">
        <v>42405</v>
      </c>
      <c r="M91" s="5">
        <v>42409</v>
      </c>
      <c r="N91" s="5">
        <v>42416</v>
      </c>
      <c r="O91" s="264">
        <v>42422</v>
      </c>
      <c r="P91" s="269">
        <v>42425</v>
      </c>
      <c r="Q91" s="207"/>
      <c r="R91" s="269">
        <v>42431</v>
      </c>
      <c r="S91" s="269">
        <v>42450</v>
      </c>
      <c r="T91" s="264">
        <v>42487</v>
      </c>
      <c r="U91" s="218"/>
      <c r="V91" s="205">
        <v>42495</v>
      </c>
      <c r="W91" s="205">
        <v>42495</v>
      </c>
    </row>
    <row r="92" spans="1:23" ht="18" customHeight="1" x14ac:dyDescent="0.25">
      <c r="A92" s="250">
        <v>59</v>
      </c>
      <c r="B92" s="244" t="s">
        <v>468</v>
      </c>
      <c r="C92" s="262">
        <v>776</v>
      </c>
      <c r="D92" s="262"/>
      <c r="E92" s="314" t="s">
        <v>564</v>
      </c>
      <c r="F92" s="262">
        <v>382</v>
      </c>
      <c r="G92" s="262" t="s">
        <v>48</v>
      </c>
      <c r="H92" s="266" t="s">
        <v>44</v>
      </c>
      <c r="I92" s="270"/>
      <c r="J92" s="313" t="s">
        <v>351</v>
      </c>
      <c r="K92" s="262" t="s">
        <v>49</v>
      </c>
      <c r="L92" s="6">
        <v>42417</v>
      </c>
      <c r="M92" s="5">
        <v>42423</v>
      </c>
      <c r="N92" s="5">
        <v>42423</v>
      </c>
      <c r="O92" s="264">
        <v>42421</v>
      </c>
      <c r="P92" s="269">
        <v>42447</v>
      </c>
      <c r="Q92" s="207"/>
      <c r="R92" s="269">
        <v>42449</v>
      </c>
      <c r="S92" s="269">
        <v>42463</v>
      </c>
      <c r="T92" s="264">
        <v>42486</v>
      </c>
      <c r="U92" s="218"/>
      <c r="V92" s="205">
        <v>42500</v>
      </c>
      <c r="W92" s="205">
        <v>42500</v>
      </c>
    </row>
    <row r="93" spans="1:23" ht="18" customHeight="1" x14ac:dyDescent="0.25">
      <c r="A93" s="250">
        <v>60</v>
      </c>
      <c r="B93" s="244" t="s">
        <v>468</v>
      </c>
      <c r="C93" s="266">
        <v>771</v>
      </c>
      <c r="D93" s="266"/>
      <c r="E93" s="314" t="s">
        <v>565</v>
      </c>
      <c r="F93" s="262">
        <v>248</v>
      </c>
      <c r="G93" s="262" t="s">
        <v>28</v>
      </c>
      <c r="H93" s="266" t="s">
        <v>44</v>
      </c>
      <c r="I93" s="270"/>
      <c r="J93" s="313" t="s">
        <v>351</v>
      </c>
      <c r="K93" s="262" t="s">
        <v>49</v>
      </c>
      <c r="L93" s="6">
        <v>42390</v>
      </c>
      <c r="M93" s="5">
        <v>42390</v>
      </c>
      <c r="N93" s="5">
        <v>42397</v>
      </c>
      <c r="O93" s="264">
        <v>42410</v>
      </c>
      <c r="P93" s="269">
        <v>42416</v>
      </c>
      <c r="Q93" s="207"/>
      <c r="R93" s="269">
        <v>42432</v>
      </c>
      <c r="S93" s="269">
        <v>42447</v>
      </c>
      <c r="T93" s="264">
        <v>42497</v>
      </c>
      <c r="U93" s="218"/>
      <c r="V93" s="205">
        <v>42509</v>
      </c>
      <c r="W93" s="205">
        <v>42509</v>
      </c>
    </row>
    <row r="94" spans="1:23" ht="18" customHeight="1" x14ac:dyDescent="0.25">
      <c r="A94" s="250">
        <v>61</v>
      </c>
      <c r="B94" s="16" t="s">
        <v>468</v>
      </c>
      <c r="C94" s="8">
        <v>787</v>
      </c>
      <c r="D94" s="8"/>
      <c r="E94" s="314" t="s">
        <v>566</v>
      </c>
      <c r="F94" s="8">
        <v>110</v>
      </c>
      <c r="G94" s="8" t="s">
        <v>48</v>
      </c>
      <c r="H94" s="8" t="s">
        <v>29</v>
      </c>
      <c r="I94" s="7"/>
      <c r="J94" s="313" t="s">
        <v>351</v>
      </c>
      <c r="K94" s="262" t="s">
        <v>49</v>
      </c>
      <c r="L94" s="6">
        <v>42451</v>
      </c>
      <c r="M94" s="5">
        <v>42458</v>
      </c>
      <c r="N94" s="4"/>
      <c r="O94" s="6">
        <v>42472</v>
      </c>
      <c r="P94" s="5">
        <v>42472</v>
      </c>
      <c r="Q94" s="4"/>
      <c r="R94" s="5">
        <v>42481</v>
      </c>
      <c r="S94" s="5">
        <v>42528</v>
      </c>
      <c r="T94" s="264">
        <v>42584</v>
      </c>
      <c r="U94" s="232"/>
      <c r="V94" s="232">
        <v>42586</v>
      </c>
      <c r="W94" s="232">
        <v>42586</v>
      </c>
    </row>
    <row r="95" spans="1:23" ht="18" customHeight="1" x14ac:dyDescent="0.25">
      <c r="A95" s="250">
        <v>62</v>
      </c>
      <c r="B95" s="16" t="s">
        <v>468</v>
      </c>
      <c r="C95" s="8">
        <v>789</v>
      </c>
      <c r="D95" s="8"/>
      <c r="E95" s="314" t="s">
        <v>567</v>
      </c>
      <c r="F95" s="8">
        <v>176</v>
      </c>
      <c r="G95" s="8" t="s">
        <v>48</v>
      </c>
      <c r="H95" s="8" t="s">
        <v>29</v>
      </c>
      <c r="I95" s="7"/>
      <c r="J95" s="313" t="s">
        <v>351</v>
      </c>
      <c r="K95" s="262" t="s">
        <v>49</v>
      </c>
      <c r="L95" s="6">
        <v>42451</v>
      </c>
      <c r="M95" s="5">
        <v>42458</v>
      </c>
      <c r="N95" s="4"/>
      <c r="O95" s="6">
        <v>42472</v>
      </c>
      <c r="P95" s="5">
        <v>42472</v>
      </c>
      <c r="Q95" s="4"/>
      <c r="R95" s="5">
        <v>42481</v>
      </c>
      <c r="S95" s="5">
        <v>42528</v>
      </c>
      <c r="T95" s="264">
        <v>42584</v>
      </c>
      <c r="U95" s="232"/>
      <c r="V95" s="232">
        <v>42587</v>
      </c>
      <c r="W95" s="232">
        <v>42587</v>
      </c>
    </row>
    <row r="96" spans="1:23" ht="18" customHeight="1" x14ac:dyDescent="0.25">
      <c r="A96" s="250">
        <v>63</v>
      </c>
      <c r="B96" s="16" t="s">
        <v>468</v>
      </c>
      <c r="C96" s="8">
        <v>797</v>
      </c>
      <c r="D96" s="8"/>
      <c r="E96" s="314" t="s">
        <v>568</v>
      </c>
      <c r="F96" s="8">
        <v>263</v>
      </c>
      <c r="G96" s="8" t="s">
        <v>48</v>
      </c>
      <c r="H96" s="8" t="s">
        <v>29</v>
      </c>
      <c r="I96" s="7"/>
      <c r="J96" s="313" t="s">
        <v>351</v>
      </c>
      <c r="K96" s="262" t="s">
        <v>49</v>
      </c>
      <c r="L96" s="6">
        <v>42479</v>
      </c>
      <c r="M96" s="5">
        <v>42479</v>
      </c>
      <c r="N96" s="4"/>
      <c r="O96" s="6">
        <v>42484</v>
      </c>
      <c r="P96" s="5">
        <v>42486</v>
      </c>
      <c r="Q96" s="4"/>
      <c r="R96" s="5">
        <v>42502</v>
      </c>
      <c r="S96" s="5">
        <v>42528</v>
      </c>
      <c r="T96" s="264">
        <v>42584</v>
      </c>
      <c r="U96" s="232"/>
      <c r="V96" s="232">
        <v>42588</v>
      </c>
      <c r="W96" s="232">
        <v>42588</v>
      </c>
    </row>
    <row r="97" spans="1:23" ht="18" customHeight="1" x14ac:dyDescent="0.25">
      <c r="A97" s="250">
        <v>64</v>
      </c>
      <c r="B97" s="16" t="s">
        <v>468</v>
      </c>
      <c r="C97" s="8">
        <v>800</v>
      </c>
      <c r="D97" s="8"/>
      <c r="E97" s="314" t="s">
        <v>569</v>
      </c>
      <c r="F97" s="8">
        <v>129</v>
      </c>
      <c r="G97" s="8" t="s">
        <v>48</v>
      </c>
      <c r="H97" s="266" t="s">
        <v>44</v>
      </c>
      <c r="I97" s="7"/>
      <c r="J97" s="313" t="s">
        <v>351</v>
      </c>
      <c r="K97" s="262" t="s">
        <v>49</v>
      </c>
      <c r="L97" s="6">
        <v>42465</v>
      </c>
      <c r="M97" s="5">
        <v>42471</v>
      </c>
      <c r="N97" s="5">
        <v>42482</v>
      </c>
      <c r="O97" s="6">
        <v>42484</v>
      </c>
      <c r="P97" s="5">
        <v>42486</v>
      </c>
      <c r="Q97" s="4"/>
      <c r="R97" s="5">
        <v>42502</v>
      </c>
      <c r="S97" s="5">
        <v>42525</v>
      </c>
      <c r="T97" s="264">
        <v>42573</v>
      </c>
      <c r="U97" s="218"/>
      <c r="V97" s="232">
        <v>42589</v>
      </c>
      <c r="W97" s="232">
        <v>42589</v>
      </c>
    </row>
    <row r="98" spans="1:23" ht="18" customHeight="1" x14ac:dyDescent="0.25">
      <c r="A98" s="250">
        <v>65</v>
      </c>
      <c r="B98" s="16" t="s">
        <v>468</v>
      </c>
      <c r="C98" s="8">
        <v>93</v>
      </c>
      <c r="D98" s="8"/>
      <c r="E98" s="314" t="s">
        <v>570</v>
      </c>
      <c r="F98" s="8">
        <v>180</v>
      </c>
      <c r="G98" s="8" t="s">
        <v>64</v>
      </c>
      <c r="H98" s="8" t="s">
        <v>29</v>
      </c>
      <c r="I98" s="2"/>
      <c r="J98" s="313" t="s">
        <v>351</v>
      </c>
      <c r="K98" s="262" t="s">
        <v>49</v>
      </c>
      <c r="L98" s="6">
        <v>42514</v>
      </c>
      <c r="M98" s="4"/>
      <c r="N98" s="4"/>
      <c r="O98" s="6">
        <v>42528</v>
      </c>
      <c r="P98" s="5">
        <v>42529</v>
      </c>
      <c r="Q98" s="4"/>
      <c r="R98" s="5">
        <v>42537</v>
      </c>
      <c r="S98" s="5">
        <v>42564</v>
      </c>
      <c r="T98" s="264">
        <v>42597</v>
      </c>
      <c r="U98" s="218"/>
      <c r="V98" s="218">
        <v>42599</v>
      </c>
      <c r="W98" s="218">
        <v>42599</v>
      </c>
    </row>
    <row r="99" spans="1:23" ht="18" customHeight="1" x14ac:dyDescent="0.25">
      <c r="A99" s="250">
        <v>66</v>
      </c>
      <c r="B99" s="250" t="s">
        <v>468</v>
      </c>
      <c r="C99" s="8">
        <v>763</v>
      </c>
      <c r="D99" s="8"/>
      <c r="E99" s="314" t="s">
        <v>571</v>
      </c>
      <c r="F99" s="8">
        <v>140</v>
      </c>
      <c r="G99" s="8" t="s">
        <v>48</v>
      </c>
      <c r="H99" s="266" t="s">
        <v>44</v>
      </c>
      <c r="I99" s="1"/>
      <c r="J99" s="313" t="s">
        <v>351</v>
      </c>
      <c r="K99" s="262" t="s">
        <v>49</v>
      </c>
      <c r="L99" s="268"/>
      <c r="M99" s="4"/>
      <c r="N99" s="4"/>
      <c r="O99" s="6">
        <v>42535</v>
      </c>
      <c r="P99" s="5">
        <v>42530</v>
      </c>
      <c r="Q99" s="4"/>
      <c r="R99" s="5">
        <v>42542</v>
      </c>
      <c r="S99" s="4"/>
      <c r="T99" s="264">
        <v>42579</v>
      </c>
      <c r="U99" s="218"/>
      <c r="V99" s="218">
        <v>42600</v>
      </c>
      <c r="W99" s="218">
        <v>42600</v>
      </c>
    </row>
    <row r="100" spans="1:23" ht="18" customHeight="1" x14ac:dyDescent="0.25">
      <c r="A100" s="250">
        <v>67</v>
      </c>
      <c r="B100" s="250" t="s">
        <v>468</v>
      </c>
      <c r="C100" s="8">
        <v>14</v>
      </c>
      <c r="D100" s="8"/>
      <c r="E100" s="314" t="s">
        <v>572</v>
      </c>
      <c r="F100" s="8">
        <v>405</v>
      </c>
      <c r="G100" s="8" t="s">
        <v>64</v>
      </c>
      <c r="H100" s="266" t="s">
        <v>44</v>
      </c>
      <c r="I100" s="7"/>
      <c r="J100" s="313" t="s">
        <v>351</v>
      </c>
      <c r="K100" s="262" t="s">
        <v>49</v>
      </c>
      <c r="L100" s="268"/>
      <c r="M100" s="4"/>
      <c r="N100" s="5">
        <v>42331</v>
      </c>
      <c r="O100" s="6">
        <v>42232</v>
      </c>
      <c r="P100" s="5">
        <v>42606</v>
      </c>
      <c r="Q100" s="4"/>
      <c r="R100" s="5">
        <v>42622</v>
      </c>
      <c r="S100" s="5">
        <v>42331</v>
      </c>
      <c r="T100" s="264">
        <v>42436</v>
      </c>
      <c r="U100" s="205">
        <v>42438</v>
      </c>
      <c r="V100" s="205">
        <v>42439</v>
      </c>
      <c r="W100" s="205">
        <v>42440</v>
      </c>
    </row>
    <row r="101" spans="1:23" ht="18" customHeight="1" x14ac:dyDescent="0.25">
      <c r="A101" s="250">
        <v>68</v>
      </c>
      <c r="B101" s="250" t="s">
        <v>468</v>
      </c>
      <c r="C101" s="8">
        <v>4</v>
      </c>
      <c r="D101" s="8"/>
      <c r="E101" s="314" t="s">
        <v>573</v>
      </c>
      <c r="F101" s="8">
        <v>250</v>
      </c>
      <c r="G101" s="8" t="s">
        <v>64</v>
      </c>
      <c r="H101" s="8" t="s">
        <v>29</v>
      </c>
      <c r="I101" s="7"/>
      <c r="J101" s="313" t="s">
        <v>351</v>
      </c>
      <c r="K101" s="262" t="s">
        <v>49</v>
      </c>
      <c r="L101" s="268"/>
      <c r="M101" s="4"/>
      <c r="N101" s="5">
        <v>42395</v>
      </c>
      <c r="O101" s="6">
        <v>42641</v>
      </c>
      <c r="P101" s="5">
        <v>42641</v>
      </c>
      <c r="Q101" s="4"/>
      <c r="R101" s="5">
        <v>42354</v>
      </c>
      <c r="S101" s="5">
        <v>42395</v>
      </c>
      <c r="T101" s="264">
        <v>42477</v>
      </c>
      <c r="U101" s="218"/>
      <c r="V101" s="218">
        <v>42480</v>
      </c>
      <c r="W101" s="218">
        <v>42480</v>
      </c>
    </row>
    <row r="102" spans="1:23" ht="18" customHeight="1" x14ac:dyDescent="0.25">
      <c r="A102" s="250">
        <v>69</v>
      </c>
      <c r="B102" s="250" t="s">
        <v>468</v>
      </c>
      <c r="C102" s="8">
        <v>773</v>
      </c>
      <c r="D102" s="8"/>
      <c r="E102" s="314" t="s">
        <v>574</v>
      </c>
      <c r="F102" s="8">
        <v>185</v>
      </c>
      <c r="G102" s="8" t="s">
        <v>28</v>
      </c>
      <c r="H102" s="8" t="s">
        <v>29</v>
      </c>
      <c r="I102" s="7"/>
      <c r="J102" s="313" t="s">
        <v>351</v>
      </c>
      <c r="K102" s="262" t="s">
        <v>49</v>
      </c>
      <c r="L102" s="6">
        <v>42383</v>
      </c>
      <c r="M102" s="5">
        <v>42390</v>
      </c>
      <c r="N102" s="5">
        <v>42397</v>
      </c>
      <c r="O102" s="6">
        <v>42410</v>
      </c>
      <c r="P102" s="5">
        <v>42415</v>
      </c>
      <c r="Q102" s="4"/>
      <c r="R102" s="5">
        <v>42465</v>
      </c>
      <c r="S102" s="5">
        <v>42494</v>
      </c>
      <c r="T102" s="264">
        <v>42531</v>
      </c>
      <c r="U102" s="218"/>
      <c r="V102" s="218">
        <v>42532</v>
      </c>
      <c r="W102" s="218">
        <v>42532</v>
      </c>
    </row>
    <row r="103" spans="1:23" ht="18" customHeight="1" x14ac:dyDescent="0.25">
      <c r="A103" s="250">
        <v>70</v>
      </c>
      <c r="B103" s="250" t="s">
        <v>468</v>
      </c>
      <c r="C103" s="8">
        <v>777</v>
      </c>
      <c r="D103" s="8"/>
      <c r="E103" s="314" t="s">
        <v>575</v>
      </c>
      <c r="F103" s="8">
        <v>135</v>
      </c>
      <c r="G103" s="8" t="s">
        <v>28</v>
      </c>
      <c r="H103" s="266" t="s">
        <v>44</v>
      </c>
      <c r="I103" s="7"/>
      <c r="J103" s="313" t="s">
        <v>351</v>
      </c>
      <c r="K103" s="262" t="s">
        <v>49</v>
      </c>
      <c r="L103" s="6">
        <v>42498</v>
      </c>
      <c r="M103" s="4"/>
      <c r="N103" s="4"/>
      <c r="O103" s="6">
        <v>42498</v>
      </c>
      <c r="P103" s="5">
        <v>42501</v>
      </c>
      <c r="Q103" s="4"/>
      <c r="R103" s="5">
        <v>42506</v>
      </c>
      <c r="S103" s="5">
        <v>42516</v>
      </c>
      <c r="T103" s="218"/>
      <c r="U103" s="218"/>
      <c r="V103" s="218">
        <v>42594</v>
      </c>
      <c r="W103" s="218">
        <v>42594</v>
      </c>
    </row>
    <row r="104" spans="1:23" ht="18" customHeight="1" x14ac:dyDescent="0.25">
      <c r="A104" s="250">
        <v>71</v>
      </c>
      <c r="B104" s="250" t="s">
        <v>468</v>
      </c>
      <c r="C104" s="8">
        <v>768</v>
      </c>
      <c r="D104" s="8"/>
      <c r="E104" s="314" t="s">
        <v>576</v>
      </c>
      <c r="F104" s="8">
        <v>190</v>
      </c>
      <c r="G104" s="8" t="s">
        <v>28</v>
      </c>
      <c r="H104" s="266" t="s">
        <v>44</v>
      </c>
      <c r="I104" s="7"/>
      <c r="J104" s="313" t="s">
        <v>351</v>
      </c>
      <c r="K104" s="262" t="s">
        <v>49</v>
      </c>
      <c r="L104" s="6">
        <v>42477</v>
      </c>
      <c r="M104" s="4"/>
      <c r="N104" s="4"/>
      <c r="O104" s="6">
        <v>42484</v>
      </c>
      <c r="P104" s="5">
        <v>42486</v>
      </c>
      <c r="Q104" s="4"/>
      <c r="R104" s="5">
        <v>42506</v>
      </c>
      <c r="S104" s="5">
        <v>42518</v>
      </c>
      <c r="T104" s="218"/>
      <c r="U104" s="218"/>
      <c r="V104" s="218">
        <v>42584</v>
      </c>
      <c r="W104" s="218">
        <v>42584</v>
      </c>
    </row>
    <row r="105" spans="1:23" ht="18" customHeight="1" x14ac:dyDescent="0.25">
      <c r="A105" s="250">
        <v>72</v>
      </c>
      <c r="B105" s="250" t="s">
        <v>468</v>
      </c>
      <c r="C105" s="8">
        <v>785</v>
      </c>
      <c r="D105" s="8"/>
      <c r="E105" s="314" t="s">
        <v>577</v>
      </c>
      <c r="F105" s="8">
        <v>190</v>
      </c>
      <c r="G105" s="8" t="s">
        <v>28</v>
      </c>
      <c r="H105" s="266" t="s">
        <v>44</v>
      </c>
      <c r="I105" s="7"/>
      <c r="J105" s="313" t="s">
        <v>351</v>
      </c>
      <c r="K105" s="262" t="s">
        <v>49</v>
      </c>
      <c r="L105" s="6">
        <v>42460</v>
      </c>
      <c r="M105" s="5">
        <v>42462</v>
      </c>
      <c r="N105" s="5">
        <v>42464</v>
      </c>
      <c r="O105" s="6">
        <v>42472</v>
      </c>
      <c r="P105" s="5">
        <v>42472</v>
      </c>
      <c r="Q105" s="4"/>
      <c r="R105" s="5">
        <v>42480</v>
      </c>
      <c r="S105" s="5">
        <v>42518</v>
      </c>
      <c r="T105" s="218"/>
      <c r="U105" s="218"/>
      <c r="V105" s="218">
        <v>42520</v>
      </c>
      <c r="W105" s="218">
        <v>42521</v>
      </c>
    </row>
    <row r="106" spans="1:23" ht="18" customHeight="1" x14ac:dyDescent="0.25">
      <c r="A106" s="250">
        <v>73</v>
      </c>
      <c r="B106" s="250" t="s">
        <v>468</v>
      </c>
      <c r="C106" s="266">
        <v>763</v>
      </c>
      <c r="D106" s="266"/>
      <c r="E106" s="314" t="s">
        <v>578</v>
      </c>
      <c r="F106" s="266">
        <v>140</v>
      </c>
      <c r="G106" s="266" t="s">
        <v>28</v>
      </c>
      <c r="H106" s="266" t="s">
        <v>44</v>
      </c>
      <c r="I106" s="270"/>
      <c r="J106" s="313" t="s">
        <v>351</v>
      </c>
      <c r="K106" s="262" t="s">
        <v>49</v>
      </c>
      <c r="L106" s="268"/>
      <c r="M106" s="4"/>
      <c r="N106" s="4"/>
      <c r="O106" s="218"/>
      <c r="P106" s="207"/>
      <c r="Q106" s="207"/>
      <c r="R106" s="207"/>
      <c r="S106" s="207"/>
      <c r="T106" s="218"/>
      <c r="U106" s="218"/>
      <c r="V106" s="205">
        <v>42496</v>
      </c>
      <c r="W106" s="205">
        <v>42497</v>
      </c>
    </row>
    <row r="107" spans="1:23" ht="18" customHeight="1" x14ac:dyDescent="0.35">
      <c r="A107" s="271"/>
      <c r="B107" s="271"/>
      <c r="C107" s="271"/>
      <c r="D107" s="271"/>
      <c r="E107" s="231" t="s">
        <v>256</v>
      </c>
      <c r="F107" s="271"/>
      <c r="G107" s="271"/>
      <c r="H107" s="271"/>
      <c r="I107" s="283"/>
      <c r="J107" s="271"/>
      <c r="K107" s="271"/>
      <c r="L107" s="272"/>
      <c r="M107" s="273"/>
      <c r="N107" s="273"/>
      <c r="O107" s="274"/>
      <c r="P107" s="275"/>
      <c r="Q107" s="275"/>
      <c r="R107" s="275"/>
      <c r="S107" s="275"/>
      <c r="T107" s="272"/>
      <c r="U107" s="272"/>
      <c r="V107" s="272"/>
      <c r="W107" s="272"/>
    </row>
    <row r="108" spans="1:23" ht="18" customHeight="1" x14ac:dyDescent="0.25">
      <c r="A108" s="234">
        <v>1</v>
      </c>
      <c r="B108" s="276" t="s">
        <v>468</v>
      </c>
      <c r="C108" s="200">
        <v>775</v>
      </c>
      <c r="D108" s="200"/>
      <c r="E108" s="201"/>
      <c r="F108" s="200">
        <v>250</v>
      </c>
      <c r="G108" s="202" t="s">
        <v>28</v>
      </c>
      <c r="H108" s="202" t="s">
        <v>44</v>
      </c>
      <c r="I108" s="277" t="s">
        <v>87</v>
      </c>
      <c r="J108" s="200"/>
      <c r="K108" s="200" t="s">
        <v>87</v>
      </c>
      <c r="L108" s="205"/>
      <c r="M108" s="206"/>
      <c r="N108" s="206"/>
      <c r="O108" s="205">
        <v>42484</v>
      </c>
      <c r="P108" s="206">
        <v>42486</v>
      </c>
      <c r="Q108" s="200">
        <v>160000343</v>
      </c>
      <c r="R108" s="206">
        <v>42502</v>
      </c>
      <c r="S108" s="206"/>
      <c r="T108" s="205"/>
      <c r="U108" s="205"/>
      <c r="V108" s="205"/>
      <c r="W108" s="205"/>
    </row>
    <row r="109" spans="1:23" ht="18" customHeight="1" x14ac:dyDescent="0.25">
      <c r="A109" s="199">
        <v>2</v>
      </c>
      <c r="B109" s="276" t="s">
        <v>468</v>
      </c>
      <c r="C109" s="200">
        <v>13</v>
      </c>
      <c r="D109" s="200"/>
      <c r="E109" s="278"/>
      <c r="F109" s="200">
        <v>0</v>
      </c>
      <c r="G109" s="202" t="s">
        <v>64</v>
      </c>
      <c r="H109" s="202" t="s">
        <v>44</v>
      </c>
      <c r="I109" s="277" t="s">
        <v>87</v>
      </c>
      <c r="J109" s="200"/>
      <c r="K109" s="230" t="s">
        <v>87</v>
      </c>
      <c r="L109" s="205"/>
      <c r="M109" s="206"/>
      <c r="N109" s="206"/>
      <c r="O109" s="205">
        <v>42613</v>
      </c>
      <c r="P109" s="206">
        <v>42617</v>
      </c>
      <c r="Q109" s="200">
        <v>160000647</v>
      </c>
      <c r="R109" s="206">
        <v>42633</v>
      </c>
      <c r="S109" s="206">
        <v>42639</v>
      </c>
      <c r="T109" s="205"/>
      <c r="U109" s="205"/>
      <c r="V109" s="205"/>
      <c r="W109" s="205"/>
    </row>
    <row r="110" spans="1:23" ht="18" customHeight="1" x14ac:dyDescent="0.25">
      <c r="A110" s="290"/>
      <c r="B110" s="290"/>
      <c r="C110" s="290"/>
      <c r="D110" s="290"/>
      <c r="E110" s="17"/>
      <c r="F110" s="290"/>
      <c r="G110" s="290"/>
      <c r="H110" s="290"/>
      <c r="I110" s="17"/>
      <c r="J110" s="290"/>
      <c r="K110" s="290"/>
      <c r="L110" s="291"/>
      <c r="M110" s="292"/>
      <c r="N110" s="292"/>
      <c r="O110" s="293"/>
      <c r="P110" s="294"/>
      <c r="Q110" s="294"/>
      <c r="R110" s="294"/>
      <c r="S110" s="294"/>
      <c r="T110" s="291"/>
      <c r="U110" s="291"/>
      <c r="V110" s="291"/>
      <c r="W110" s="291"/>
    </row>
    <row r="111" spans="1:23" ht="18" customHeight="1" x14ac:dyDescent="0.25">
      <c r="A111" s="290"/>
      <c r="B111" s="290"/>
      <c r="C111" s="290"/>
      <c r="D111" s="290"/>
      <c r="E111" s="17"/>
      <c r="F111" s="290"/>
      <c r="G111" s="290"/>
      <c r="H111" s="290"/>
      <c r="I111" s="17"/>
      <c r="J111" s="290"/>
      <c r="K111" s="290"/>
      <c r="L111" s="291"/>
      <c r="M111" s="292"/>
      <c r="N111" s="292"/>
      <c r="O111" s="293"/>
      <c r="P111" s="294"/>
      <c r="Q111" s="294"/>
      <c r="R111" s="294"/>
      <c r="S111" s="294"/>
      <c r="T111" s="291"/>
      <c r="U111" s="291"/>
      <c r="V111" s="291"/>
      <c r="W111" s="291"/>
    </row>
    <row r="112" spans="1:23" ht="18" customHeight="1" x14ac:dyDescent="0.25">
      <c r="A112" s="290"/>
      <c r="B112" s="290"/>
      <c r="C112" s="290"/>
      <c r="D112" s="290"/>
      <c r="E112" s="17"/>
      <c r="F112" s="290"/>
      <c r="G112" s="290"/>
      <c r="H112" s="290"/>
      <c r="I112" s="17"/>
      <c r="J112" s="290"/>
      <c r="K112" s="290"/>
      <c r="L112" s="291"/>
      <c r="M112" s="292"/>
      <c r="N112" s="292"/>
      <c r="O112" s="293"/>
      <c r="P112" s="294"/>
      <c r="Q112" s="294"/>
      <c r="R112" s="294"/>
      <c r="S112" s="294"/>
      <c r="T112" s="291"/>
      <c r="U112" s="291"/>
      <c r="V112" s="291"/>
      <c r="W112" s="291"/>
    </row>
    <row r="113" spans="1:23" ht="18" customHeight="1" x14ac:dyDescent="0.25">
      <c r="A113" s="290"/>
      <c r="B113" s="290"/>
      <c r="C113" s="290"/>
      <c r="D113" s="290"/>
      <c r="E113" s="17"/>
      <c r="F113" s="290"/>
      <c r="G113" s="290"/>
      <c r="H113" s="290"/>
      <c r="I113" s="17"/>
      <c r="J113" s="290"/>
      <c r="K113" s="290"/>
      <c r="L113" s="291"/>
      <c r="M113" s="292"/>
      <c r="N113" s="292"/>
      <c r="O113" s="293"/>
      <c r="P113" s="294"/>
      <c r="Q113" s="294"/>
      <c r="R113" s="294"/>
      <c r="S113" s="294"/>
      <c r="T113" s="291"/>
      <c r="U113" s="291"/>
      <c r="V113" s="291"/>
      <c r="W113" s="291"/>
    </row>
    <row r="114" spans="1:23" ht="18" customHeight="1" x14ac:dyDescent="0.25">
      <c r="A114" s="290"/>
      <c r="B114" s="290"/>
      <c r="C114" s="290"/>
      <c r="D114" s="290"/>
      <c r="E114" s="17"/>
      <c r="F114" s="290"/>
      <c r="G114" s="290"/>
      <c r="H114" s="290"/>
      <c r="I114" s="17"/>
      <c r="J114" s="290"/>
      <c r="K114" s="290"/>
      <c r="L114" s="291"/>
      <c r="M114" s="292"/>
      <c r="N114" s="292"/>
      <c r="O114" s="293"/>
      <c r="P114" s="294"/>
      <c r="Q114" s="294"/>
      <c r="R114" s="294"/>
      <c r="S114" s="294"/>
      <c r="T114" s="291"/>
      <c r="U114" s="291"/>
      <c r="V114" s="291"/>
      <c r="W114" s="291"/>
    </row>
    <row r="115" spans="1:23" ht="18" customHeight="1" x14ac:dyDescent="0.25">
      <c r="A115" s="290"/>
      <c r="B115" s="290"/>
      <c r="C115" s="290"/>
      <c r="D115" s="290"/>
      <c r="E115" s="17"/>
      <c r="F115" s="290"/>
      <c r="G115" s="290"/>
      <c r="H115" s="290"/>
      <c r="I115" s="17"/>
      <c r="J115" s="290"/>
      <c r="K115" s="290"/>
      <c r="L115" s="291"/>
      <c r="M115" s="292"/>
      <c r="N115" s="292"/>
      <c r="O115" s="293"/>
      <c r="P115" s="294"/>
      <c r="Q115" s="294"/>
      <c r="R115" s="294"/>
      <c r="S115" s="294"/>
      <c r="T115" s="291"/>
      <c r="U115" s="291"/>
      <c r="V115" s="291"/>
      <c r="W115" s="291"/>
    </row>
    <row r="116" spans="1:23" ht="18" customHeight="1" x14ac:dyDescent="0.25">
      <c r="A116" s="290"/>
      <c r="B116" s="290"/>
      <c r="C116" s="290"/>
      <c r="D116" s="290"/>
      <c r="E116" s="17"/>
      <c r="F116" s="290"/>
      <c r="G116" s="290"/>
      <c r="H116" s="290"/>
      <c r="I116" s="17"/>
      <c r="J116" s="290"/>
      <c r="K116" s="290"/>
      <c r="L116" s="291"/>
      <c r="M116" s="292"/>
      <c r="N116" s="292"/>
      <c r="O116" s="293"/>
      <c r="P116" s="294"/>
      <c r="Q116" s="294"/>
      <c r="R116" s="294"/>
      <c r="S116" s="294"/>
      <c r="T116" s="291"/>
      <c r="U116" s="291"/>
      <c r="V116" s="291"/>
      <c r="W116" s="291"/>
    </row>
    <row r="117" spans="1:23" ht="18" customHeight="1" x14ac:dyDescent="0.25">
      <c r="A117" s="290"/>
      <c r="B117" s="290"/>
      <c r="C117" s="290"/>
      <c r="D117" s="290"/>
      <c r="E117" s="17"/>
      <c r="F117" s="290"/>
      <c r="G117" s="290"/>
      <c r="H117" s="290"/>
      <c r="I117" s="17"/>
      <c r="J117" s="290"/>
      <c r="K117" s="290"/>
      <c r="L117" s="291"/>
      <c r="M117" s="292"/>
      <c r="N117" s="292"/>
      <c r="O117" s="293"/>
      <c r="P117" s="294"/>
      <c r="Q117" s="294"/>
      <c r="R117" s="294"/>
      <c r="S117" s="294"/>
      <c r="T117" s="291"/>
      <c r="U117" s="291"/>
      <c r="V117" s="291"/>
      <c r="W117" s="291"/>
    </row>
    <row r="118" spans="1:23" ht="18" customHeight="1" x14ac:dyDescent="0.25">
      <c r="A118" s="290"/>
      <c r="B118" s="290"/>
      <c r="C118" s="290"/>
      <c r="D118" s="290"/>
      <c r="E118" s="17"/>
      <c r="F118" s="290"/>
      <c r="G118" s="290"/>
      <c r="H118" s="290"/>
      <c r="I118" s="17"/>
      <c r="J118" s="290"/>
      <c r="K118" s="290"/>
      <c r="L118" s="291"/>
      <c r="M118" s="292"/>
      <c r="N118" s="292"/>
      <c r="O118" s="293"/>
      <c r="P118" s="294"/>
      <c r="Q118" s="294"/>
      <c r="R118" s="294"/>
      <c r="S118" s="294"/>
      <c r="T118" s="291"/>
      <c r="U118" s="291"/>
      <c r="V118" s="291"/>
      <c r="W118" s="291"/>
    </row>
    <row r="119" spans="1:23" ht="18" customHeight="1" x14ac:dyDescent="0.25">
      <c r="A119" s="290"/>
      <c r="B119" s="290"/>
      <c r="C119" s="290"/>
      <c r="D119" s="290"/>
      <c r="E119" s="17"/>
      <c r="F119" s="290"/>
      <c r="G119" s="290"/>
      <c r="H119" s="290"/>
      <c r="I119" s="17"/>
      <c r="J119" s="290"/>
      <c r="K119" s="290"/>
      <c r="L119" s="291"/>
      <c r="M119" s="292"/>
      <c r="N119" s="292"/>
      <c r="O119" s="293"/>
      <c r="P119" s="294"/>
      <c r="Q119" s="294"/>
      <c r="R119" s="294"/>
      <c r="S119" s="294"/>
      <c r="T119" s="291"/>
      <c r="U119" s="291"/>
      <c r="V119" s="291"/>
      <c r="W119" s="291"/>
    </row>
    <row r="120" spans="1:23" ht="18" customHeight="1" x14ac:dyDescent="0.25">
      <c r="A120" s="290"/>
      <c r="B120" s="290"/>
      <c r="C120" s="290"/>
      <c r="D120" s="290"/>
      <c r="E120" s="17"/>
      <c r="F120" s="290"/>
      <c r="G120" s="290"/>
      <c r="H120" s="290"/>
      <c r="I120" s="17"/>
      <c r="J120" s="290"/>
      <c r="K120" s="290"/>
      <c r="L120" s="291"/>
      <c r="M120" s="292"/>
      <c r="N120" s="292"/>
      <c r="O120" s="293"/>
      <c r="P120" s="294"/>
      <c r="Q120" s="294"/>
      <c r="R120" s="294"/>
      <c r="S120" s="294"/>
      <c r="T120" s="291"/>
      <c r="U120" s="291"/>
      <c r="V120" s="291"/>
      <c r="W120" s="291"/>
    </row>
    <row r="121" spans="1:23" ht="18" customHeight="1" x14ac:dyDescent="0.25">
      <c r="A121" s="290"/>
      <c r="B121" s="290"/>
      <c r="C121" s="290"/>
      <c r="D121" s="290"/>
      <c r="E121" s="17"/>
      <c r="F121" s="290"/>
      <c r="G121" s="290"/>
      <c r="H121" s="290"/>
      <c r="I121" s="17"/>
      <c r="J121" s="290"/>
      <c r="K121" s="290"/>
      <c r="L121" s="291"/>
      <c r="M121" s="292"/>
      <c r="N121" s="292"/>
      <c r="O121" s="293"/>
      <c r="P121" s="294"/>
      <c r="Q121" s="294"/>
      <c r="R121" s="294"/>
      <c r="S121" s="294"/>
      <c r="T121" s="291"/>
      <c r="U121" s="291"/>
      <c r="V121" s="291"/>
      <c r="W121" s="291"/>
    </row>
    <row r="122" spans="1:23" ht="18" customHeight="1" x14ac:dyDescent="0.25">
      <c r="A122" s="290"/>
      <c r="B122" s="290"/>
      <c r="C122" s="290"/>
      <c r="D122" s="290"/>
      <c r="E122" s="17"/>
      <c r="F122" s="290"/>
      <c r="G122" s="290"/>
      <c r="H122" s="290"/>
      <c r="I122" s="17"/>
      <c r="J122" s="290"/>
      <c r="K122" s="290"/>
      <c r="L122" s="291"/>
      <c r="M122" s="292"/>
      <c r="N122" s="292"/>
      <c r="O122" s="293"/>
      <c r="P122" s="294"/>
      <c r="Q122" s="294"/>
      <c r="R122" s="294"/>
      <c r="S122" s="294"/>
      <c r="T122" s="291"/>
      <c r="U122" s="291"/>
      <c r="V122" s="291"/>
      <c r="W122" s="291"/>
    </row>
    <row r="123" spans="1:23" ht="18" customHeight="1" x14ac:dyDescent="0.25">
      <c r="A123" s="290"/>
      <c r="B123" s="290"/>
      <c r="C123" s="290"/>
      <c r="D123" s="290"/>
      <c r="E123" s="17"/>
      <c r="F123" s="290"/>
      <c r="G123" s="290"/>
      <c r="H123" s="290"/>
      <c r="I123" s="17"/>
      <c r="J123" s="290"/>
      <c r="K123" s="290"/>
      <c r="L123" s="291"/>
      <c r="M123" s="292"/>
      <c r="N123" s="292"/>
      <c r="O123" s="293"/>
      <c r="P123" s="294"/>
      <c r="Q123" s="294"/>
      <c r="R123" s="294"/>
      <c r="S123" s="294"/>
      <c r="T123" s="291"/>
      <c r="U123" s="291"/>
      <c r="V123" s="291"/>
      <c r="W123" s="291"/>
    </row>
    <row r="124" spans="1:23" ht="18" customHeight="1" x14ac:dyDescent="0.25">
      <c r="A124" s="290"/>
      <c r="B124" s="290"/>
      <c r="C124" s="290"/>
      <c r="D124" s="290"/>
      <c r="E124" s="17"/>
      <c r="F124" s="290"/>
      <c r="G124" s="290"/>
      <c r="H124" s="290"/>
      <c r="I124" s="17"/>
      <c r="J124" s="290"/>
      <c r="K124" s="290"/>
      <c r="L124" s="291"/>
      <c r="M124" s="292"/>
      <c r="N124" s="292"/>
      <c r="O124" s="293"/>
      <c r="P124" s="294"/>
      <c r="Q124" s="294"/>
      <c r="R124" s="294"/>
      <c r="S124" s="294"/>
      <c r="T124" s="291"/>
      <c r="U124" s="291"/>
      <c r="V124" s="291"/>
      <c r="W124" s="291"/>
    </row>
    <row r="125" spans="1:23" ht="18" customHeight="1" x14ac:dyDescent="0.25">
      <c r="A125" s="290"/>
      <c r="B125" s="290"/>
      <c r="C125" s="290"/>
      <c r="D125" s="290"/>
      <c r="E125" s="17"/>
      <c r="F125" s="290"/>
      <c r="G125" s="290"/>
      <c r="H125" s="290"/>
      <c r="I125" s="17"/>
      <c r="J125" s="290"/>
      <c r="K125" s="290"/>
      <c r="L125" s="291"/>
      <c r="M125" s="292"/>
      <c r="N125" s="292"/>
      <c r="O125" s="293"/>
      <c r="P125" s="294"/>
      <c r="Q125" s="294"/>
      <c r="R125" s="294"/>
      <c r="S125" s="294"/>
      <c r="T125" s="291"/>
      <c r="U125" s="291"/>
      <c r="V125" s="291"/>
      <c r="W125" s="291"/>
    </row>
    <row r="126" spans="1:23" ht="18" customHeight="1" x14ac:dyDescent="0.25">
      <c r="A126" s="290"/>
      <c r="B126" s="290"/>
      <c r="C126" s="290"/>
      <c r="D126" s="290"/>
      <c r="E126" s="17"/>
      <c r="F126" s="290"/>
      <c r="G126" s="290"/>
      <c r="H126" s="290"/>
      <c r="I126" s="17"/>
      <c r="J126" s="290"/>
      <c r="K126" s="290"/>
      <c r="L126" s="291"/>
      <c r="M126" s="292"/>
      <c r="N126" s="292"/>
      <c r="O126" s="293"/>
      <c r="P126" s="294"/>
      <c r="Q126" s="294"/>
      <c r="R126" s="294"/>
      <c r="S126" s="294"/>
      <c r="T126" s="291"/>
      <c r="U126" s="291"/>
      <c r="V126" s="291"/>
      <c r="W126" s="291"/>
    </row>
    <row r="127" spans="1:23" ht="18" customHeight="1" x14ac:dyDescent="0.25">
      <c r="A127" s="290"/>
      <c r="B127" s="290"/>
      <c r="C127" s="290"/>
      <c r="D127" s="290"/>
      <c r="E127" s="17"/>
      <c r="F127" s="290"/>
      <c r="G127" s="290"/>
      <c r="H127" s="290"/>
      <c r="I127" s="17"/>
      <c r="J127" s="290"/>
      <c r="K127" s="290"/>
      <c r="L127" s="291"/>
      <c r="M127" s="292"/>
      <c r="N127" s="292"/>
      <c r="O127" s="293"/>
      <c r="P127" s="294"/>
      <c r="Q127" s="294"/>
      <c r="R127" s="294"/>
      <c r="S127" s="294"/>
      <c r="T127" s="291"/>
      <c r="U127" s="291"/>
      <c r="V127" s="291"/>
      <c r="W127" s="291"/>
    </row>
    <row r="128" spans="1:23" ht="18" customHeight="1" x14ac:dyDescent="0.25">
      <c r="A128" s="290"/>
      <c r="B128" s="290"/>
      <c r="C128" s="290"/>
      <c r="D128" s="290"/>
      <c r="E128" s="17"/>
      <c r="F128" s="290"/>
      <c r="G128" s="290"/>
      <c r="H128" s="290"/>
      <c r="I128" s="17"/>
      <c r="J128" s="290"/>
      <c r="K128" s="290"/>
      <c r="L128" s="291"/>
      <c r="M128" s="292"/>
      <c r="N128" s="292"/>
      <c r="O128" s="293"/>
      <c r="P128" s="294"/>
      <c r="Q128" s="294"/>
      <c r="R128" s="294"/>
      <c r="S128" s="294"/>
      <c r="T128" s="291"/>
      <c r="U128" s="291"/>
      <c r="V128" s="291"/>
      <c r="W128" s="291"/>
    </row>
    <row r="129" spans="1:23" ht="18" customHeight="1" x14ac:dyDescent="0.25">
      <c r="A129" s="290"/>
      <c r="B129" s="290"/>
      <c r="C129" s="290"/>
      <c r="D129" s="290"/>
      <c r="E129" s="17"/>
      <c r="F129" s="290"/>
      <c r="G129" s="290"/>
      <c r="H129" s="290"/>
      <c r="I129" s="17"/>
      <c r="J129" s="290"/>
      <c r="K129" s="290"/>
      <c r="L129" s="291"/>
      <c r="M129" s="292"/>
      <c r="N129" s="292"/>
      <c r="O129" s="293"/>
      <c r="P129" s="294"/>
      <c r="Q129" s="294"/>
      <c r="R129" s="294"/>
      <c r="S129" s="294"/>
      <c r="T129" s="291"/>
      <c r="U129" s="291"/>
      <c r="V129" s="291"/>
      <c r="W129" s="291"/>
    </row>
    <row r="130" spans="1:23" ht="18" customHeight="1" x14ac:dyDescent="0.25">
      <c r="A130" s="290"/>
      <c r="B130" s="290"/>
      <c r="C130" s="290"/>
      <c r="D130" s="290"/>
      <c r="E130" s="17"/>
      <c r="F130" s="290"/>
      <c r="G130" s="290"/>
      <c r="H130" s="290"/>
      <c r="I130" s="17"/>
      <c r="J130" s="290"/>
      <c r="K130" s="290"/>
      <c r="L130" s="291"/>
      <c r="M130" s="292"/>
      <c r="N130" s="292"/>
      <c r="O130" s="293"/>
      <c r="P130" s="294"/>
      <c r="Q130" s="294"/>
      <c r="R130" s="294"/>
      <c r="S130" s="294"/>
      <c r="T130" s="291"/>
      <c r="U130" s="291"/>
      <c r="V130" s="291"/>
      <c r="W130" s="291"/>
    </row>
    <row r="131" spans="1:23" ht="18" customHeight="1" x14ac:dyDescent="0.25">
      <c r="A131" s="290"/>
      <c r="B131" s="290"/>
      <c r="C131" s="290"/>
      <c r="D131" s="290"/>
      <c r="E131" s="17"/>
      <c r="F131" s="290"/>
      <c r="G131" s="290"/>
      <c r="H131" s="290"/>
      <c r="I131" s="17"/>
      <c r="J131" s="290"/>
      <c r="K131" s="290"/>
      <c r="L131" s="291"/>
      <c r="M131" s="292"/>
      <c r="N131" s="292"/>
      <c r="O131" s="293"/>
      <c r="P131" s="294"/>
      <c r="Q131" s="294"/>
      <c r="R131" s="294"/>
      <c r="S131" s="294"/>
      <c r="T131" s="291"/>
      <c r="U131" s="291"/>
      <c r="V131" s="291"/>
      <c r="W131" s="291"/>
    </row>
    <row r="132" spans="1:23" ht="18" customHeight="1" x14ac:dyDescent="0.25">
      <c r="A132" s="290"/>
      <c r="B132" s="290"/>
      <c r="C132" s="290"/>
      <c r="D132" s="290"/>
      <c r="E132" s="17"/>
      <c r="F132" s="290"/>
      <c r="G132" s="290"/>
      <c r="H132" s="290"/>
      <c r="I132" s="17"/>
      <c r="J132" s="290"/>
      <c r="K132" s="290"/>
      <c r="L132" s="291"/>
      <c r="M132" s="292"/>
      <c r="N132" s="292"/>
      <c r="O132" s="293"/>
      <c r="P132" s="294"/>
      <c r="Q132" s="294"/>
      <c r="R132" s="294"/>
      <c r="S132" s="294"/>
      <c r="T132" s="291"/>
      <c r="U132" s="291"/>
      <c r="V132" s="291"/>
      <c r="W132" s="291"/>
    </row>
    <row r="133" spans="1:23" ht="18" customHeight="1" x14ac:dyDescent="0.25">
      <c r="A133" s="290"/>
      <c r="B133" s="290"/>
      <c r="C133" s="290"/>
      <c r="D133" s="290"/>
      <c r="E133" s="17"/>
      <c r="F133" s="290"/>
      <c r="G133" s="290"/>
      <c r="H133" s="290"/>
      <c r="I133" s="17"/>
      <c r="J133" s="290"/>
      <c r="K133" s="290"/>
      <c r="L133" s="291"/>
      <c r="M133" s="292"/>
      <c r="N133" s="292"/>
      <c r="O133" s="293"/>
      <c r="P133" s="294"/>
      <c r="Q133" s="294"/>
      <c r="R133" s="294"/>
      <c r="S133" s="294"/>
      <c r="T133" s="291"/>
      <c r="U133" s="291"/>
      <c r="V133" s="291"/>
      <c r="W133" s="291"/>
    </row>
    <row r="134" spans="1:23" ht="18" customHeight="1" x14ac:dyDescent="0.25">
      <c r="A134" s="290"/>
      <c r="B134" s="290"/>
      <c r="C134" s="290"/>
      <c r="D134" s="290"/>
      <c r="E134" s="17"/>
      <c r="F134" s="290"/>
      <c r="G134" s="290"/>
      <c r="H134" s="290"/>
      <c r="I134" s="17"/>
      <c r="J134" s="290"/>
      <c r="K134" s="290"/>
      <c r="L134" s="291"/>
      <c r="M134" s="292"/>
      <c r="N134" s="292"/>
      <c r="O134" s="293"/>
      <c r="P134" s="294"/>
      <c r="Q134" s="294"/>
      <c r="R134" s="294"/>
      <c r="S134" s="294"/>
      <c r="T134" s="291"/>
      <c r="U134" s="291"/>
      <c r="V134" s="291"/>
      <c r="W134" s="291"/>
    </row>
    <row r="135" spans="1:23" ht="18" customHeight="1" x14ac:dyDescent="0.25">
      <c r="A135" s="290"/>
      <c r="B135" s="290"/>
      <c r="C135" s="290"/>
      <c r="D135" s="290"/>
      <c r="E135" s="17"/>
      <c r="F135" s="290"/>
      <c r="G135" s="290"/>
      <c r="H135" s="290"/>
      <c r="I135" s="17"/>
      <c r="J135" s="290"/>
      <c r="K135" s="290"/>
      <c r="L135" s="291"/>
      <c r="M135" s="292"/>
      <c r="N135" s="292"/>
      <c r="O135" s="293"/>
      <c r="P135" s="294"/>
      <c r="Q135" s="294"/>
      <c r="R135" s="294"/>
      <c r="S135" s="294"/>
      <c r="T135" s="291"/>
      <c r="U135" s="291"/>
      <c r="V135" s="291"/>
      <c r="W135" s="291"/>
    </row>
    <row r="136" spans="1:23" ht="18" customHeight="1" x14ac:dyDescent="0.25">
      <c r="A136" s="290"/>
      <c r="B136" s="290"/>
      <c r="C136" s="290"/>
      <c r="D136" s="290"/>
      <c r="E136" s="17"/>
      <c r="F136" s="290"/>
      <c r="G136" s="290"/>
      <c r="H136" s="290"/>
      <c r="I136" s="17"/>
      <c r="J136" s="290"/>
      <c r="K136" s="290"/>
      <c r="L136" s="291"/>
      <c r="M136" s="292"/>
      <c r="N136" s="292"/>
      <c r="O136" s="293"/>
      <c r="P136" s="294"/>
      <c r="Q136" s="294"/>
      <c r="R136" s="294"/>
      <c r="S136" s="294"/>
      <c r="T136" s="291"/>
      <c r="U136" s="291"/>
      <c r="V136" s="291"/>
      <c r="W136" s="291"/>
    </row>
    <row r="137" spans="1:23" ht="18" customHeight="1" x14ac:dyDescent="0.25">
      <c r="A137" s="290"/>
      <c r="B137" s="290"/>
      <c r="C137" s="290"/>
      <c r="D137" s="290"/>
      <c r="E137" s="17"/>
      <c r="F137" s="290"/>
      <c r="G137" s="290"/>
      <c r="H137" s="290"/>
      <c r="I137" s="17"/>
      <c r="J137" s="290"/>
      <c r="K137" s="290"/>
      <c r="L137" s="291"/>
      <c r="M137" s="292"/>
      <c r="N137" s="292"/>
      <c r="O137" s="293"/>
      <c r="P137" s="294"/>
      <c r="Q137" s="294"/>
      <c r="R137" s="294"/>
      <c r="S137" s="294"/>
      <c r="T137" s="291"/>
      <c r="U137" s="291"/>
      <c r="V137" s="291"/>
      <c r="W137" s="291"/>
    </row>
    <row r="138" spans="1:23" ht="18" customHeight="1" x14ac:dyDescent="0.25">
      <c r="A138" s="290"/>
      <c r="B138" s="290"/>
      <c r="C138" s="290"/>
      <c r="D138" s="290"/>
      <c r="E138" s="17"/>
      <c r="F138" s="290"/>
      <c r="G138" s="290"/>
      <c r="H138" s="290"/>
      <c r="I138" s="17"/>
      <c r="J138" s="290"/>
      <c r="K138" s="290"/>
      <c r="L138" s="291"/>
      <c r="M138" s="292"/>
      <c r="N138" s="292"/>
      <c r="O138" s="293"/>
      <c r="P138" s="294"/>
      <c r="Q138" s="294"/>
      <c r="R138" s="294"/>
      <c r="S138" s="294"/>
      <c r="T138" s="291"/>
      <c r="U138" s="291"/>
      <c r="V138" s="291"/>
      <c r="W138" s="291"/>
    </row>
    <row r="139" spans="1:23" ht="18" customHeight="1" x14ac:dyDescent="0.25">
      <c r="A139" s="290"/>
      <c r="B139" s="290"/>
      <c r="C139" s="290"/>
      <c r="D139" s="290"/>
      <c r="E139" s="17"/>
      <c r="F139" s="290"/>
      <c r="G139" s="290"/>
      <c r="H139" s="290"/>
      <c r="I139" s="17"/>
      <c r="J139" s="290"/>
      <c r="K139" s="290"/>
      <c r="L139" s="291"/>
      <c r="M139" s="292"/>
      <c r="N139" s="292"/>
      <c r="O139" s="293"/>
      <c r="P139" s="294"/>
      <c r="Q139" s="294"/>
      <c r="R139" s="294"/>
      <c r="S139" s="294"/>
      <c r="T139" s="291"/>
      <c r="U139" s="291"/>
      <c r="V139" s="291"/>
      <c r="W139" s="291"/>
    </row>
    <row r="140" spans="1:23" ht="18" customHeight="1" x14ac:dyDescent="0.25">
      <c r="A140" s="290"/>
      <c r="B140" s="290"/>
      <c r="C140" s="290"/>
      <c r="D140" s="290"/>
      <c r="E140" s="17"/>
      <c r="F140" s="290"/>
      <c r="G140" s="290"/>
      <c r="H140" s="290"/>
      <c r="I140" s="17"/>
      <c r="J140" s="290"/>
      <c r="K140" s="290"/>
      <c r="L140" s="291"/>
      <c r="M140" s="292"/>
      <c r="N140" s="292"/>
      <c r="O140" s="293"/>
      <c r="P140" s="294"/>
      <c r="Q140" s="294"/>
      <c r="R140" s="294"/>
      <c r="S140" s="294"/>
      <c r="T140" s="291"/>
      <c r="U140" s="291"/>
      <c r="V140" s="291"/>
      <c r="W140" s="291"/>
    </row>
  </sheetData>
  <dataValidations count="2">
    <dataValidation type="list" allowBlank="1" showInputMessage="1" showErrorMessage="1" sqref="G108:H1048576 K108:K1048576 G1:H106 K1:K106">
      <formula1>#REF!</formula1>
    </dataValidation>
    <dataValidation type="date" errorStyle="warning" operator="greaterThan" allowBlank="1" showInputMessage="1" showErrorMessage="1" error="ONLY DATES" prompt="ONLY DATES AS FORMAT_x000a_01-JAN-2016" sqref="R1:W1048576 N1:P1048576">
      <formula1>36526</formula1>
    </dataValidation>
  </dataValidations>
  <pageMargins left="0.25" right="0.25" top="0.75" bottom="0.75" header="0.3" footer="0.3"/>
  <pageSetup paperSize="154" scale="63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E</vt:lpstr>
      <vt:lpstr>G</vt:lpstr>
      <vt:lpstr>W</vt:lpstr>
      <vt:lpstr>E!Print_Area</vt:lpstr>
      <vt:lpstr>G!Print_Area</vt:lpstr>
      <vt:lpstr>W!Print_Area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2017-04-04T08:46:05Z</dcterms:created>
  <dcterms:modified xsi:type="dcterms:W3CDTF">2017-04-04T08:46:21Z</dcterms:modified>
  <cp:category/>
  <cp:contentStatus/>
</cp:coreProperties>
</file>